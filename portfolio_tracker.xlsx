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Open Positions" sheetId="3" state="visible" r:id="rId3"/>
    <sheet xmlns:r="http://schemas.openxmlformats.org/officeDocument/2006/relationships" name="Closed Trades" sheetId="4" state="visible" r:id="rId4"/>
    <sheet xmlns:r="http://schemas.openxmlformats.org/officeDocument/2006/relationships" name="Learning Feedback" sheetId="5" state="visible" r:id="rId5"/>
    <sheet xmlns:r="http://schemas.openxmlformats.org/officeDocument/2006/relationships" name="Model Improvements" sheetId="6" state="visible" r:id="rId6"/>
    <sheet xmlns:r="http://schemas.openxmlformats.org/officeDocument/2006/relationships" name="Runbook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0">
    <font>
      <name val="Calibri"/>
      <charset val="1"/>
      <family val="2"/>
      <color theme="1"/>
      <sz val="11"/>
    </font>
    <font>
      <name val="Cambria"/>
      <charset val="1"/>
      <b val="1"/>
      <color rgb="FFFFFFFF"/>
      <sz val="10"/>
    </font>
    <font>
      <name val="Cambria"/>
      <charset val="1"/>
      <b val="1"/>
      <color rgb="FF00B050"/>
      <sz val="11"/>
    </font>
    <font>
      <name val="Cambria"/>
      <charset val="1"/>
      <b val="1"/>
      <color rgb="FFFF0000"/>
      <sz val="11"/>
    </font>
    <font>
      <name val="Cambria"/>
      <family val="1"/>
      <b val="1"/>
      <color rgb="FF00B050"/>
      <sz val="11"/>
    </font>
    <font>
      <name val="Calibri"/>
      <charset val="1"/>
      <family val="2"/>
      <color rgb="FF00B050"/>
      <sz val="11"/>
    </font>
    <font>
      <name val="Arial"/>
      <family val="2"/>
      <sz val="10"/>
    </font>
    <font>
      <name val="Arial"/>
      <b val="1"/>
      <color rgb="00FFD700"/>
      <sz val="14"/>
    </font>
    <font>
      <name val="Arial"/>
      <i val="1"/>
      <color rgb="00AAAAAA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1565C0"/>
      <sz val="10"/>
    </font>
    <font>
      <name val="Arial"/>
      <color rgb="00555555"/>
      <sz val="10"/>
    </font>
    <font>
      <name val="Arial"/>
      <b val="1"/>
      <color rgb="0043A047"/>
      <sz val="10"/>
    </font>
    <font>
      <name val="Arial"/>
      <b val="1"/>
      <color rgb="002E7D32"/>
      <sz val="10"/>
    </font>
    <font>
      <name val="Arial"/>
      <b val="1"/>
      <color rgb="000D47A1"/>
      <sz val="10"/>
    </font>
    <font>
      <name val="Arial"/>
      <b val="1"/>
      <sz val="10"/>
    </font>
    <font>
      <name val="Arial"/>
      <i val="1"/>
      <color rgb="00BBBBBB"/>
      <sz val="10"/>
    </font>
    <font>
      <name val="Consolas"/>
      <b val="1"/>
      <color rgb="00FFFFFF"/>
      <sz val="11"/>
    </font>
    <font>
      <name val="Arial"/>
      <b val="1"/>
      <color rgb="00333333"/>
      <sz val="10"/>
    </font>
    <font>
      <name val="Arial"/>
      <color rgb="00111111"/>
      <sz val="10"/>
    </font>
    <font>
      <name val="Consolas"/>
      <b val="1"/>
      <color rgb="00A8FF60"/>
      <sz val="10"/>
    </font>
    <font>
      <name val="Arial"/>
      <color rgb="00333333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Calibri"/>
      <b val="1"/>
      <sz val="11"/>
    </font>
    <font>
      <name val="Calibri"/>
      <sz val="11"/>
    </font>
  </fonts>
  <fills count="25">
    <fill>
      <patternFill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CCC"/>
        <bgColor rgb="FFCCCCFF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374785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0D47A1"/>
      </patternFill>
    </fill>
    <fill>
      <patternFill patternType="solid">
        <fgColor rgb="001E1E2E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37474F"/>
      </patternFill>
    </fill>
    <fill>
      <patternFill patternType="solid">
        <fgColor rgb="00004D40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10" borderId="2" applyAlignment="1" pivotButton="0" quotePrefix="0" xfId="0">
      <alignment horizontal="right" vertical="center"/>
    </xf>
    <xf numFmtId="0" fontId="17" fillId="10" borderId="2" applyAlignment="1" pivotButton="0" quotePrefix="0" xfId="0">
      <alignment horizontal="left" vertical="center"/>
    </xf>
    <xf numFmtId="0" fontId="0" fillId="10" borderId="2" pivotButton="0" quotePrefix="0" xfId="0"/>
    <xf numFmtId="0" fontId="18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right" vertical="center"/>
    </xf>
    <xf numFmtId="10" fontId="12" fillId="12" borderId="2" applyAlignment="1" pivotButton="0" quotePrefix="0" xfId="0">
      <alignment horizontal="right" vertical="center"/>
    </xf>
    <xf numFmtId="0" fontId="18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right" vertical="center"/>
    </xf>
    <xf numFmtId="10" fontId="12" fillId="14" borderId="2" applyAlignment="1" pivotButton="0" quotePrefix="0" xfId="0">
      <alignment horizontal="right" vertical="center"/>
    </xf>
    <xf numFmtId="10" fontId="12" fillId="12" borderId="2" applyAlignment="1" pivotButton="0" quotePrefix="0" xfId="0">
      <alignment horizontal="center" vertical="center"/>
    </xf>
    <xf numFmtId="10" fontId="12" fillId="1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8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right" vertical="center"/>
    </xf>
    <xf numFmtId="0" fontId="19" fillId="5" borderId="0" applyAlignment="1" pivotButton="0" quotePrefix="0" xfId="0">
      <alignment horizontal="center" vertical="center"/>
    </xf>
    <xf numFmtId="0" fontId="20" fillId="5" borderId="7" applyAlignment="1" pivotButton="0" quotePrefix="0" xfId="0">
      <alignment horizontal="center" vertical="center" wrapText="1"/>
    </xf>
    <xf numFmtId="0" fontId="9" fillId="15" borderId="7" applyAlignment="1" pivotButton="0" quotePrefix="0" xfId="0">
      <alignment horizontal="left" vertical="center"/>
    </xf>
    <xf numFmtId="0" fontId="21" fillId="10" borderId="7" applyAlignment="1" pivotButton="0" quotePrefix="0" xfId="0">
      <alignment horizontal="center" vertical="top"/>
    </xf>
    <xf numFmtId="0" fontId="22" fillId="10" borderId="7" applyAlignment="1" pivotButton="0" quotePrefix="0" xfId="0">
      <alignment horizontal="left" vertical="top" wrapText="1"/>
    </xf>
    <xf numFmtId="0" fontId="23" fillId="16" borderId="7" applyAlignment="1" pivotButton="0" quotePrefix="0" xfId="0">
      <alignment horizontal="left" vertical="top" wrapText="1"/>
    </xf>
    <xf numFmtId="0" fontId="24" fillId="10" borderId="7" applyAlignment="1" pivotButton="0" quotePrefix="0" xfId="0">
      <alignment horizontal="left" vertical="top" wrapText="1"/>
    </xf>
    <xf numFmtId="0" fontId="25" fillId="10" borderId="7" applyAlignment="1" pivotButton="0" quotePrefix="0" xfId="0">
      <alignment horizontal="center" vertical="top"/>
    </xf>
    <xf numFmtId="0" fontId="26" fillId="10" borderId="7" applyAlignment="1" pivotButton="0" quotePrefix="0" xfId="0">
      <alignment horizontal="center" vertical="top"/>
    </xf>
    <xf numFmtId="0" fontId="21" fillId="17" borderId="7" applyAlignment="1" pivotButton="0" quotePrefix="0" xfId="0">
      <alignment horizontal="center" vertical="top"/>
    </xf>
    <xf numFmtId="0" fontId="22" fillId="17" borderId="7" applyAlignment="1" pivotButton="0" quotePrefix="0" xfId="0">
      <alignment horizontal="left" vertical="top" wrapText="1"/>
    </xf>
    <xf numFmtId="0" fontId="24" fillId="17" borderId="7" applyAlignment="1" pivotButton="0" quotePrefix="0" xfId="0">
      <alignment horizontal="left" vertical="top" wrapText="1"/>
    </xf>
    <xf numFmtId="0" fontId="25" fillId="17" borderId="7" applyAlignment="1" pivotButton="0" quotePrefix="0" xfId="0">
      <alignment horizontal="center" vertical="top"/>
    </xf>
    <xf numFmtId="0" fontId="27" fillId="17" borderId="7" applyAlignment="1" pivotButton="0" quotePrefix="0" xfId="0">
      <alignment horizontal="center" vertical="top"/>
    </xf>
    <xf numFmtId="0" fontId="21" fillId="18" borderId="7" applyAlignment="1" pivotButton="0" quotePrefix="0" xfId="0">
      <alignment horizontal="center" vertical="top"/>
    </xf>
    <xf numFmtId="0" fontId="22" fillId="18" borderId="7" applyAlignment="1" pivotButton="0" quotePrefix="0" xfId="0">
      <alignment horizontal="left" vertical="top" wrapText="1"/>
    </xf>
    <xf numFmtId="0" fontId="24" fillId="18" borderId="7" applyAlignment="1" pivotButton="0" quotePrefix="0" xfId="0">
      <alignment horizontal="left" vertical="top" wrapText="1"/>
    </xf>
    <xf numFmtId="0" fontId="25" fillId="18" borderId="7" applyAlignment="1" pivotButton="0" quotePrefix="0" xfId="0">
      <alignment horizontal="center" vertical="top"/>
    </xf>
    <xf numFmtId="0" fontId="26" fillId="18" borderId="7" applyAlignment="1" pivotButton="0" quotePrefix="0" xfId="0">
      <alignment horizontal="center" vertical="top"/>
    </xf>
    <xf numFmtId="0" fontId="9" fillId="19" borderId="7" applyAlignment="1" pivotButton="0" quotePrefix="0" xfId="0">
      <alignment horizontal="left" vertical="center"/>
    </xf>
    <xf numFmtId="0" fontId="26" fillId="17" borderId="7" applyAlignment="1" pivotButton="0" quotePrefix="0" xfId="0">
      <alignment horizontal="center" vertical="top"/>
    </xf>
    <xf numFmtId="0" fontId="9" fillId="20" borderId="7" applyAlignment="1" pivotButton="0" quotePrefix="0" xfId="0">
      <alignment horizontal="left" vertical="center"/>
    </xf>
    <xf numFmtId="0" fontId="9" fillId="21" borderId="7" applyAlignment="1" pivotButton="0" quotePrefix="0" xfId="0">
      <alignment horizontal="left" vertical="center"/>
    </xf>
    <xf numFmtId="0" fontId="9" fillId="22" borderId="7" applyAlignment="1" pivotButton="0" quotePrefix="0" xfId="0">
      <alignment horizontal="left" vertical="center"/>
    </xf>
    <xf numFmtId="0" fontId="21" fillId="13" borderId="7" applyAlignment="1" pivotButton="0" quotePrefix="0" xfId="0">
      <alignment horizontal="center" vertical="top"/>
    </xf>
    <xf numFmtId="0" fontId="22" fillId="13" borderId="7" applyAlignment="1" pivotButton="0" quotePrefix="0" xfId="0">
      <alignment horizontal="left" vertical="top" wrapText="1"/>
    </xf>
    <xf numFmtId="0" fontId="24" fillId="13" borderId="7" applyAlignment="1" pivotButton="0" quotePrefix="0" xfId="0">
      <alignment horizontal="left" vertical="top" wrapText="1"/>
    </xf>
    <xf numFmtId="0" fontId="25" fillId="13" borderId="7" applyAlignment="1" pivotButton="0" quotePrefix="0" xfId="0">
      <alignment horizontal="center" vertical="top"/>
    </xf>
    <xf numFmtId="0" fontId="26" fillId="13" borderId="7" applyAlignment="1" pivotButton="0" quotePrefix="0" xfId="0">
      <alignment horizontal="center" vertical="top"/>
    </xf>
    <xf numFmtId="0" fontId="9" fillId="23" borderId="7" applyAlignment="1" pivotButton="0" quotePrefix="0" xfId="0">
      <alignment horizontal="left" vertical="center"/>
    </xf>
    <xf numFmtId="0" fontId="21" fillId="9" borderId="7" applyAlignment="1" pivotButton="0" quotePrefix="0" xfId="0">
      <alignment horizontal="center" vertical="top"/>
    </xf>
    <xf numFmtId="0" fontId="22" fillId="9" borderId="7" applyAlignment="1" pivotButton="0" quotePrefix="0" xfId="0">
      <alignment horizontal="left" vertical="top" wrapText="1"/>
    </xf>
    <xf numFmtId="0" fontId="24" fillId="9" borderId="7" applyAlignment="1" pivotButton="0" quotePrefix="0" xfId="0">
      <alignment horizontal="left" vertical="top" wrapText="1"/>
    </xf>
    <xf numFmtId="0" fontId="25" fillId="9" borderId="7" applyAlignment="1" pivotButton="0" quotePrefix="0" xfId="0">
      <alignment horizontal="center" vertical="top"/>
    </xf>
    <xf numFmtId="0" fontId="26" fillId="9" borderId="7" applyAlignment="1" pivotButton="0" quotePrefix="0" xfId="0">
      <alignment horizontal="center" vertical="top"/>
    </xf>
    <xf numFmtId="0" fontId="9" fillId="24" borderId="7" applyAlignment="1" pivotButton="0" quotePrefix="0" xfId="0">
      <alignment horizontal="left" vertical="center"/>
    </xf>
    <xf numFmtId="164" fontId="28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164" fontId="29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2" customWidth="1" min="1" max="1"/>
    <col width="8" customWidth="1" min="2" max="2"/>
    <col width="12" customWidth="1" min="3" max="3"/>
    <col width="13" customWidth="1" min="4" max="4"/>
    <col width="15" customWidth="1" min="5" max="5"/>
    <col width="14" customWidth="1" min="6" max="6"/>
    <col width="8" customWidth="1" min="7" max="7"/>
    <col width="12" customWidth="1" min="8" max="8"/>
    <col width="17" customWidth="1" min="9" max="9"/>
    <col width="9" customWidth="1" min="10" max="10"/>
    <col width="8" customWidth="1" min="11" max="11"/>
    <col width="13" customWidth="1" min="12" max="12"/>
    <col width="11" customWidth="1" min="13" max="13"/>
    <col width="15" customWidth="1" min="14" max="14"/>
    <col width="8" customWidth="1" min="15" max="15"/>
    <col width="14" customWidth="1" min="16" max="16"/>
    <col width="11" customWidth="1" min="17" max="17"/>
    <col width="23" customWidth="1" min="18" max="18"/>
    <col width="13" customWidth="1" min="19" max="19"/>
    <col width="11" customWidth="1" min="20" max="22"/>
    <col width="10" customWidth="1" min="23" max="23"/>
  </cols>
  <sheetData>
    <row r="1" ht="15" customHeight="1">
      <c r="A1" s="1" t="inlineStr">
        <is>
          <t>Date</t>
        </is>
      </c>
      <c r="B1" s="1" t="inlineStr">
        <is>
          <t>Day #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Entry Price ₹</t>
        </is>
      </c>
      <c r="F1" s="1" t="inlineStr">
        <is>
          <t>Exit Price ₹</t>
        </is>
      </c>
      <c r="G1" s="1" t="inlineStr">
        <is>
          <t>Qty</t>
        </is>
      </c>
      <c r="H1" s="1" t="inlineStr">
        <is>
          <t>Invested ₹</t>
        </is>
      </c>
      <c r="I1" s="1" t="inlineStr">
        <is>
          <t>Current Value ₹</t>
        </is>
      </c>
      <c r="J1" s="1" t="inlineStr">
        <is>
          <t>P&amp;L ₹</t>
        </is>
      </c>
      <c r="K1" s="1" t="inlineStr">
        <is>
          <t>P&amp;L %</t>
        </is>
      </c>
      <c r="L1" s="1" t="inlineStr">
        <is>
          <t>Stop Loss ₹</t>
        </is>
      </c>
      <c r="M1" s="1" t="inlineStr">
        <is>
          <t>Stop Mode</t>
        </is>
      </c>
      <c r="N1" s="1" t="inlineStr">
        <is>
          <t>Council Score</t>
        </is>
      </c>
      <c r="O1" s="1" t="inlineStr">
        <is>
          <t>GPS</t>
        </is>
      </c>
      <c r="P1" s="1" t="inlineStr">
        <is>
          <t>Verdict</t>
        </is>
      </c>
      <c r="Q1" s="1" t="inlineStr">
        <is>
          <t>Hold Days</t>
        </is>
      </c>
      <c r="R1" s="1" t="inlineStr">
        <is>
          <t>Sector</t>
        </is>
      </c>
      <c r="S1" s="1" t="inlineStr">
        <is>
          <t>Reason</t>
        </is>
      </c>
      <c r="T1" s="1" t="inlineStr">
        <is>
          <t>1D Pred ₹</t>
        </is>
      </c>
      <c r="U1" s="1" t="inlineStr">
        <is>
          <t>3D Pred ₹</t>
        </is>
      </c>
      <c r="V1" s="1" t="inlineStr">
        <is>
          <t>7D Pred ₹</t>
        </is>
      </c>
      <c r="W1" s="1" t="inlineStr">
        <is>
          <t>Day Mode</t>
        </is>
      </c>
    </row>
    <row r="2" ht="15" customHeight="1">
      <c r="A2" t="inlineStr">
        <is>
          <t>2026-06-17</t>
        </is>
      </c>
      <c r="B2" t="n">
        <v>1</v>
      </c>
      <c r="C2" t="inlineStr">
        <is>
          <t>AXISBANK</t>
        </is>
      </c>
      <c r="D2" s="2" t="inlineStr">
        <is>
          <t>BUY-PENDING</t>
        </is>
      </c>
      <c r="M2" t="inlineStr">
        <is>
          <t>TIGHT</t>
        </is>
      </c>
      <c r="S2" t="inlineStr">
        <is>
          <t>BUY-PENDING</t>
        </is>
      </c>
      <c r="W2" t="inlineStr">
        <is>
          <t>NORMAL</t>
        </is>
      </c>
    </row>
    <row r="3" ht="15" customHeight="1">
      <c r="A3" t="inlineStr">
        <is>
          <t>2026-06-17</t>
        </is>
      </c>
      <c r="B3" t="n">
        <v>1</v>
      </c>
      <c r="C3" t="inlineStr">
        <is>
          <t>SBIN</t>
        </is>
      </c>
      <c r="D3" s="2" t="inlineStr">
        <is>
          <t>BUY-PENDING</t>
        </is>
      </c>
      <c r="E3" t="n">
        <v>1024</v>
      </c>
      <c r="G3" t="n">
        <v>4</v>
      </c>
      <c r="H3" t="n">
        <v>4096</v>
      </c>
      <c r="I3" t="n">
        <v>4152.4</v>
      </c>
      <c r="J3" s="3" t="n">
        <v>56.4</v>
      </c>
      <c r="K3" t="n">
        <v>1.38</v>
      </c>
      <c r="L3" t="n">
        <v>993.28</v>
      </c>
      <c r="M3" t="inlineStr">
        <is>
          <t>TIGHT</t>
        </is>
      </c>
      <c r="N3" t="n">
        <v>6.3</v>
      </c>
      <c r="O3" t="n">
        <v>6.83</v>
      </c>
      <c r="P3" t="inlineStr">
        <is>
          <t>ACCUMULATE 💚</t>
        </is>
      </c>
      <c r="Q3" t="n">
        <v>15</v>
      </c>
      <c r="R3" t="inlineStr">
        <is>
          <t>Financial Services</t>
        </is>
      </c>
      <c r="S3" t="inlineStr">
        <is>
          <t>BUY-PENDING</t>
        </is>
      </c>
      <c r="W3" t="inlineStr">
        <is>
          <t>NORMAL</t>
        </is>
      </c>
    </row>
    <row r="4" ht="15" customHeight="1">
      <c r="A4" t="inlineStr">
        <is>
          <t>2026-06-17</t>
        </is>
      </c>
      <c r="B4" t="n">
        <v>1</v>
      </c>
      <c r="C4" t="inlineStr">
        <is>
          <t>PHOENIXLTD</t>
        </is>
      </c>
      <c r="D4" s="2" t="inlineStr">
        <is>
          <t>BUY-PENDING</t>
        </is>
      </c>
      <c r="E4" t="n">
        <v>1964</v>
      </c>
      <c r="G4" t="n">
        <v>1</v>
      </c>
      <c r="H4" t="n">
        <v>1964</v>
      </c>
      <c r="I4" t="n">
        <v>2075.1</v>
      </c>
      <c r="J4" s="3" t="n">
        <v>111.1</v>
      </c>
      <c r="K4" t="n">
        <v>5.66</v>
      </c>
      <c r="L4" t="n">
        <v>1905.08</v>
      </c>
      <c r="M4" t="inlineStr">
        <is>
          <t>TIGHT</t>
        </is>
      </c>
      <c r="N4" t="n">
        <v>6.35</v>
      </c>
      <c r="O4" t="n">
        <v>6.67</v>
      </c>
      <c r="P4" t="inlineStr">
        <is>
          <t>HOLD ⚖️</t>
        </is>
      </c>
      <c r="Q4" t="n">
        <v>8</v>
      </c>
      <c r="R4" t="inlineStr">
        <is>
          <t>Real Estate</t>
        </is>
      </c>
      <c r="S4" t="inlineStr">
        <is>
          <t>BUY-PENDING</t>
        </is>
      </c>
      <c r="W4" t="inlineStr">
        <is>
          <t>NORMAL</t>
        </is>
      </c>
    </row>
    <row r="5" ht="15" customHeight="1">
      <c r="A5" t="inlineStr">
        <is>
          <t>2026-06-17</t>
        </is>
      </c>
      <c r="B5" t="n">
        <v>1</v>
      </c>
      <c r="C5" t="inlineStr">
        <is>
          <t>DLF</t>
        </is>
      </c>
      <c r="D5" s="2" t="inlineStr">
        <is>
          <t>BUY-PENDING</t>
        </is>
      </c>
      <c r="M5" t="inlineStr">
        <is>
          <t>TIGHT</t>
        </is>
      </c>
      <c r="S5" t="inlineStr">
        <is>
          <t>BUY-PENDING</t>
        </is>
      </c>
      <c r="W5" t="inlineStr">
        <is>
          <t>NORMAL</t>
        </is>
      </c>
    </row>
    <row r="6" ht="15" customHeight="1">
      <c r="A6" t="inlineStr">
        <is>
          <t>2026-06-18</t>
        </is>
      </c>
      <c r="B6" t="n">
        <v>2</v>
      </c>
      <c r="C6" t="inlineStr">
        <is>
          <t>AXISBANK</t>
        </is>
      </c>
      <c r="D6" s="2" t="inlineStr">
        <is>
          <t>BUY-FILLED</t>
        </is>
      </c>
      <c r="M6" t="inlineStr">
        <is>
          <t>TIGHT</t>
        </is>
      </c>
      <c r="S6" t="inlineStr">
        <is>
          <t>BUY-FILLED</t>
        </is>
      </c>
      <c r="W6" t="inlineStr">
        <is>
          <t>NORMAL</t>
        </is>
      </c>
    </row>
    <row r="7" ht="15" customHeight="1">
      <c r="A7" t="inlineStr">
        <is>
          <t>2026-06-18</t>
        </is>
      </c>
      <c r="B7" t="n">
        <v>2</v>
      </c>
      <c r="C7" t="inlineStr">
        <is>
          <t>SBIN</t>
        </is>
      </c>
      <c r="D7" s="2" t="inlineStr">
        <is>
          <t>BUY-FILLED</t>
        </is>
      </c>
      <c r="E7" t="n">
        <v>1024</v>
      </c>
      <c r="G7" t="n">
        <v>4</v>
      </c>
      <c r="H7" t="n">
        <v>4096</v>
      </c>
      <c r="I7" t="n">
        <v>4152.4</v>
      </c>
      <c r="J7" s="3" t="n">
        <v>56.4</v>
      </c>
      <c r="K7" t="n">
        <v>1.38</v>
      </c>
      <c r="L7" t="n">
        <v>993.28</v>
      </c>
      <c r="M7" t="inlineStr">
        <is>
          <t>TIGHT</t>
        </is>
      </c>
      <c r="N7" t="n">
        <v>6.3</v>
      </c>
      <c r="O7" t="n">
        <v>6.83</v>
      </c>
      <c r="P7" t="inlineStr">
        <is>
          <t>ACCUMULATE 💚</t>
        </is>
      </c>
      <c r="Q7" t="n">
        <v>15</v>
      </c>
      <c r="R7" t="inlineStr">
        <is>
          <t>Financial Services</t>
        </is>
      </c>
      <c r="S7" t="inlineStr">
        <is>
          <t>BUY-FILLED</t>
        </is>
      </c>
      <c r="W7" t="inlineStr">
        <is>
          <t>NORMAL</t>
        </is>
      </c>
    </row>
    <row r="8" ht="15" customHeight="1">
      <c r="A8" t="inlineStr">
        <is>
          <t>2026-06-18</t>
        </is>
      </c>
      <c r="B8" t="n">
        <v>2</v>
      </c>
      <c r="C8" t="inlineStr">
        <is>
          <t>PHOENIXLTD</t>
        </is>
      </c>
      <c r="D8" s="2" t="inlineStr">
        <is>
          <t>BUY-FILLED</t>
        </is>
      </c>
      <c r="E8" t="n">
        <v>1964</v>
      </c>
      <c r="F8" t="n">
        <v>1853.7</v>
      </c>
      <c r="G8" t="n">
        <v>1</v>
      </c>
      <c r="H8" t="n">
        <v>1964</v>
      </c>
      <c r="I8" t="n">
        <v>2075.1</v>
      </c>
      <c r="J8" s="4" t="n">
        <v>-76.2</v>
      </c>
      <c r="K8" t="n">
        <v>-1.35</v>
      </c>
      <c r="L8" t="n">
        <v>1905.08</v>
      </c>
      <c r="M8" t="inlineStr">
        <is>
          <t>TIGHT</t>
        </is>
      </c>
      <c r="N8" t="n">
        <v>6.35</v>
      </c>
      <c r="O8" t="n">
        <v>6.67</v>
      </c>
      <c r="P8" t="inlineStr">
        <is>
          <t>HOLD ⚖️</t>
        </is>
      </c>
      <c r="Q8" t="n">
        <v>8</v>
      </c>
      <c r="R8" t="inlineStr">
        <is>
          <t>Real Estate</t>
        </is>
      </c>
      <c r="S8" t="inlineStr">
        <is>
          <t>SELL-STOP</t>
        </is>
      </c>
      <c r="W8" t="inlineStr">
        <is>
          <t>NORMAL</t>
        </is>
      </c>
    </row>
    <row r="9" ht="15" customHeight="1">
      <c r="A9" t="inlineStr">
        <is>
          <t>2026-06-18</t>
        </is>
      </c>
      <c r="B9" t="n">
        <v>2</v>
      </c>
      <c r="C9" t="inlineStr">
        <is>
          <t>DLF</t>
        </is>
      </c>
      <c r="D9" s="2" t="inlineStr">
        <is>
          <t>BUY-FILLED</t>
        </is>
      </c>
      <c r="M9" t="inlineStr">
        <is>
          <t>TIGHT</t>
        </is>
      </c>
      <c r="S9" t="inlineStr">
        <is>
          <t>BUY-FILLED</t>
        </is>
      </c>
      <c r="W9" t="inlineStr">
        <is>
          <t>NORMAL</t>
        </is>
      </c>
    </row>
    <row r="10" ht="15" customHeight="1">
      <c r="A10" t="inlineStr">
        <is>
          <t>2026-06-18</t>
        </is>
      </c>
      <c r="B10" t="n">
        <v>2</v>
      </c>
      <c r="C10" t="inlineStr">
        <is>
          <t>PHOENIXLTD</t>
        </is>
      </c>
      <c r="D10" s="5" t="inlineStr">
        <is>
          <t>SELL-STOP</t>
        </is>
      </c>
      <c r="E10" t="n">
        <v>1964</v>
      </c>
      <c r="F10" t="n">
        <v>1853.7</v>
      </c>
      <c r="G10" t="n">
        <v>1</v>
      </c>
      <c r="H10" t="n">
        <v>1964</v>
      </c>
      <c r="I10" t="n">
        <v>2075.1</v>
      </c>
      <c r="J10" s="4" t="n">
        <v>-76.2</v>
      </c>
      <c r="K10" t="n">
        <v>-1.35</v>
      </c>
      <c r="L10" t="n">
        <v>1905.08</v>
      </c>
      <c r="M10" t="inlineStr">
        <is>
          <t>TIGHT</t>
        </is>
      </c>
      <c r="N10" t="n">
        <v>6.35</v>
      </c>
      <c r="O10" t="n">
        <v>6.67</v>
      </c>
      <c r="P10" t="inlineStr">
        <is>
          <t>HOLD ⚖️</t>
        </is>
      </c>
      <c r="Q10" t="n">
        <v>8</v>
      </c>
      <c r="R10" t="inlineStr">
        <is>
          <t>Real Estate</t>
        </is>
      </c>
      <c r="S10" t="inlineStr">
        <is>
          <t>SELL-STOP</t>
        </is>
      </c>
      <c r="W10" t="inlineStr">
        <is>
          <t>NORMAL</t>
        </is>
      </c>
    </row>
    <row r="11" ht="15" customHeight="1">
      <c r="A11" t="inlineStr">
        <is>
          <t>2026-06-18</t>
        </is>
      </c>
      <c r="B11" t="n">
        <v>2</v>
      </c>
      <c r="C11" t="inlineStr">
        <is>
          <t>MARUTI</t>
        </is>
      </c>
      <c r="D11" s="2" t="inlineStr">
        <is>
          <t>BUY-PENDING</t>
        </is>
      </c>
      <c r="M11" t="inlineStr">
        <is>
          <t>TIGHT</t>
        </is>
      </c>
      <c r="S11" t="inlineStr">
        <is>
          <t>BUY-PENDING</t>
        </is>
      </c>
      <c r="W11" t="inlineStr">
        <is>
          <t>NORMAL</t>
        </is>
      </c>
    </row>
    <row r="12" ht="15" customHeight="1">
      <c r="A12" t="inlineStr">
        <is>
          <t>2026-06-18</t>
        </is>
      </c>
      <c r="B12" t="n">
        <v>2</v>
      </c>
      <c r="C12" t="inlineStr">
        <is>
          <t>CARTRADE</t>
        </is>
      </c>
      <c r="D12" s="2" t="inlineStr">
        <is>
          <t>BUY-PENDING</t>
        </is>
      </c>
      <c r="E12" t="n">
        <v>2665</v>
      </c>
      <c r="G12" t="n">
        <v>1</v>
      </c>
      <c r="H12" t="n">
        <v>2665</v>
      </c>
      <c r="I12" t="n">
        <v>2783.4</v>
      </c>
      <c r="J12" s="3" t="n">
        <v>118.4</v>
      </c>
      <c r="K12" t="n">
        <v>4.44</v>
      </c>
      <c r="L12" t="n">
        <v>2585.05</v>
      </c>
      <c r="M12" t="inlineStr">
        <is>
          <t>TIGHT</t>
        </is>
      </c>
      <c r="N12" t="n">
        <v>5.85</v>
      </c>
      <c r="O12" t="n">
        <v>6.15</v>
      </c>
      <c r="P12" t="inlineStr">
        <is>
          <t>ACCUMULATE 💚</t>
        </is>
      </c>
      <c r="Q12" t="n">
        <v>9</v>
      </c>
      <c r="R12" t="inlineStr">
        <is>
          <t>New Age Tech</t>
        </is>
      </c>
      <c r="S12" t="inlineStr">
        <is>
          <t>BUY-PENDING</t>
        </is>
      </c>
      <c r="W12" t="inlineStr">
        <is>
          <t>NORMAL</t>
        </is>
      </c>
    </row>
    <row r="13" ht="15" customHeight="1">
      <c r="A13" t="inlineStr">
        <is>
          <t>2026-06-18</t>
        </is>
      </c>
      <c r="B13" t="n">
        <v>2</v>
      </c>
      <c r="C13" t="inlineStr">
        <is>
          <t>ICICIBANK</t>
        </is>
      </c>
      <c r="D13" s="2" t="inlineStr">
        <is>
          <t>BUY-PENDING</t>
        </is>
      </c>
      <c r="E13" t="n">
        <v>1340.6</v>
      </c>
      <c r="G13" t="n">
        <v>3</v>
      </c>
      <c r="H13" t="n">
        <v>4021.8</v>
      </c>
      <c r="I13" t="n">
        <v>4244.1</v>
      </c>
      <c r="J13" s="3" t="n">
        <v>222.3</v>
      </c>
      <c r="K13" t="n">
        <v>5.53</v>
      </c>
      <c r="L13" t="n">
        <v>1300.38</v>
      </c>
      <c r="M13" t="inlineStr">
        <is>
          <t>TIGHT</t>
        </is>
      </c>
      <c r="N13" t="n">
        <v>6.95</v>
      </c>
      <c r="O13" t="n">
        <v>6.23</v>
      </c>
      <c r="P13" t="inlineStr">
        <is>
          <t>HOLD ⚖️</t>
        </is>
      </c>
      <c r="Q13" t="n">
        <v>15</v>
      </c>
      <c r="R13" t="inlineStr">
        <is>
          <t>Financial Services</t>
        </is>
      </c>
      <c r="S13" t="inlineStr">
        <is>
          <t>BUY-PENDING</t>
        </is>
      </c>
      <c r="W13" t="inlineStr">
        <is>
          <t>NORMAL</t>
        </is>
      </c>
    </row>
    <row r="14" ht="15" customHeight="1">
      <c r="A14" t="inlineStr">
        <is>
          <t>2026-06-18</t>
        </is>
      </c>
      <c r="B14" t="n">
        <v>2</v>
      </c>
      <c r="C14" t="inlineStr">
        <is>
          <t>LT</t>
        </is>
      </c>
      <c r="D14" s="2" t="inlineStr">
        <is>
          <t>BUY-PENDING</t>
        </is>
      </c>
      <c r="M14" t="inlineStr">
        <is>
          <t>TIGHT</t>
        </is>
      </c>
      <c r="S14" t="inlineStr">
        <is>
          <t>BUY-PENDING</t>
        </is>
      </c>
      <c r="W14" t="inlineStr">
        <is>
          <t>NORMAL</t>
        </is>
      </c>
    </row>
    <row r="15" ht="15" customHeight="1">
      <c r="A15" t="inlineStr">
        <is>
          <t>2026-06-18</t>
        </is>
      </c>
      <c r="B15" t="n">
        <v>2</v>
      </c>
      <c r="C15" t="inlineStr">
        <is>
          <t>HFCL</t>
        </is>
      </c>
      <c r="D15" s="2" t="inlineStr">
        <is>
          <t>BUY-PENDING</t>
        </is>
      </c>
      <c r="E15" t="n">
        <v>202</v>
      </c>
      <c r="G15" t="n">
        <v>24</v>
      </c>
      <c r="H15" t="n">
        <v>4848</v>
      </c>
      <c r="I15" t="n">
        <v>5424.96</v>
      </c>
      <c r="J15" s="3" t="n">
        <v>576.96</v>
      </c>
      <c r="K15" t="n">
        <v>11.9</v>
      </c>
      <c r="L15" t="n">
        <v>195.94</v>
      </c>
      <c r="M15" t="inlineStr">
        <is>
          <t>TIGHT</t>
        </is>
      </c>
      <c r="N15" t="n">
        <v>5.8</v>
      </c>
      <c r="O15" t="n">
        <v>6.72</v>
      </c>
      <c r="P15" t="inlineStr">
        <is>
          <t>ACCUMULATE 💚</t>
        </is>
      </c>
      <c r="Q15" t="n">
        <v>15</v>
      </c>
      <c r="R15" t="inlineStr">
        <is>
          <t>Telecom</t>
        </is>
      </c>
      <c r="S15" t="inlineStr">
        <is>
          <t>BUY-PENDING</t>
        </is>
      </c>
      <c r="W15" t="inlineStr">
        <is>
          <t>NORMAL</t>
        </is>
      </c>
    </row>
    <row r="16" ht="15" customHeight="1">
      <c r="A16" t="inlineStr">
        <is>
          <t>2026-06-19</t>
        </is>
      </c>
      <c r="B16" t="n">
        <v>3</v>
      </c>
      <c r="C16" t="inlineStr">
        <is>
          <t>CARTRADE</t>
        </is>
      </c>
      <c r="D16" s="2" t="inlineStr">
        <is>
          <t>BUY-FILLED</t>
        </is>
      </c>
      <c r="E16" t="n">
        <v>2665</v>
      </c>
      <c r="F16" t="n">
        <v>2558.6</v>
      </c>
      <c r="G16" t="n">
        <v>1</v>
      </c>
      <c r="H16" t="n">
        <v>2665</v>
      </c>
      <c r="I16" t="n">
        <v>2783.4</v>
      </c>
      <c r="J16" s="4" t="n">
        <v>-15.5</v>
      </c>
      <c r="K16" t="n">
        <v>-0.6</v>
      </c>
      <c r="L16" t="n">
        <v>2585.05</v>
      </c>
      <c r="M16" t="inlineStr">
        <is>
          <t>TIGHT</t>
        </is>
      </c>
      <c r="N16" t="n">
        <v>5.85</v>
      </c>
      <c r="O16" t="n">
        <v>6.15</v>
      </c>
      <c r="P16" t="inlineStr">
        <is>
          <t>ACCUMULATE 💚</t>
        </is>
      </c>
      <c r="Q16" t="n">
        <v>9</v>
      </c>
      <c r="R16" t="inlineStr">
        <is>
          <t>New Age Tech</t>
        </is>
      </c>
      <c r="S16" t="inlineStr">
        <is>
          <t>SELL-STOP</t>
        </is>
      </c>
      <c r="W16" t="inlineStr">
        <is>
          <t>NORMAL</t>
        </is>
      </c>
    </row>
    <row r="17" ht="15" customHeight="1">
      <c r="A17" t="inlineStr">
        <is>
          <t>2026-06-19</t>
        </is>
      </c>
      <c r="B17" t="n">
        <v>3</v>
      </c>
      <c r="C17" t="inlineStr">
        <is>
          <t>ICICIBANK</t>
        </is>
      </c>
      <c r="D17" s="2" t="inlineStr">
        <is>
          <t>BUY-FILLED</t>
        </is>
      </c>
      <c r="E17" t="n">
        <v>1340.6</v>
      </c>
      <c r="G17" t="n">
        <v>3</v>
      </c>
      <c r="H17" t="n">
        <v>4021.8</v>
      </c>
      <c r="I17" t="n">
        <v>4244.1</v>
      </c>
      <c r="J17" s="3" t="n">
        <v>222.3</v>
      </c>
      <c r="K17" t="n">
        <v>5.53</v>
      </c>
      <c r="L17" t="n">
        <v>1300.38</v>
      </c>
      <c r="M17" t="inlineStr">
        <is>
          <t>TIGHT</t>
        </is>
      </c>
      <c r="N17" t="n">
        <v>6.95</v>
      </c>
      <c r="O17" t="n">
        <v>6.23</v>
      </c>
      <c r="P17" t="inlineStr">
        <is>
          <t>HOLD ⚖️</t>
        </is>
      </c>
      <c r="Q17" t="n">
        <v>15</v>
      </c>
      <c r="R17" t="inlineStr">
        <is>
          <t>Financial Services</t>
        </is>
      </c>
      <c r="S17" t="inlineStr">
        <is>
          <t>BUY-FILLED</t>
        </is>
      </c>
      <c r="W17" t="inlineStr">
        <is>
          <t>NORMAL</t>
        </is>
      </c>
    </row>
    <row r="18" ht="15" customHeight="1">
      <c r="A18" t="inlineStr">
        <is>
          <t>2026-06-19</t>
        </is>
      </c>
      <c r="B18" t="n">
        <v>3</v>
      </c>
      <c r="C18" t="inlineStr">
        <is>
          <t>LT</t>
        </is>
      </c>
      <c r="D18" s="2" t="inlineStr">
        <is>
          <t>BUY-FILLED</t>
        </is>
      </c>
      <c r="M18" t="inlineStr">
        <is>
          <t>TIGHT</t>
        </is>
      </c>
      <c r="S18" t="inlineStr">
        <is>
          <t>BUY-FILLED</t>
        </is>
      </c>
      <c r="W18" t="inlineStr">
        <is>
          <t>NORMAL</t>
        </is>
      </c>
    </row>
    <row r="19" ht="15" customHeight="1">
      <c r="A19" t="inlineStr">
        <is>
          <t>2026-06-19</t>
        </is>
      </c>
      <c r="B19" t="n">
        <v>3</v>
      </c>
      <c r="C19" t="inlineStr">
        <is>
          <t>HFCL</t>
        </is>
      </c>
      <c r="D19" s="2" t="inlineStr">
        <is>
          <t>BUY-FILLED</t>
        </is>
      </c>
      <c r="E19" t="n">
        <v>202</v>
      </c>
      <c r="G19" t="n">
        <v>24</v>
      </c>
      <c r="H19" t="n">
        <v>4848</v>
      </c>
      <c r="I19" t="n">
        <v>5424.96</v>
      </c>
      <c r="J19" s="3" t="n">
        <v>576.96</v>
      </c>
      <c r="K19" t="n">
        <v>11.9</v>
      </c>
      <c r="L19" t="n">
        <v>195.94</v>
      </c>
      <c r="M19" t="inlineStr">
        <is>
          <t>TIGHT</t>
        </is>
      </c>
      <c r="N19" t="n">
        <v>5.8</v>
      </c>
      <c r="O19" t="n">
        <v>6.72</v>
      </c>
      <c r="P19" t="inlineStr">
        <is>
          <t>ACCUMULATE 💚</t>
        </is>
      </c>
      <c r="Q19" t="n">
        <v>15</v>
      </c>
      <c r="R19" t="inlineStr">
        <is>
          <t>Telecom</t>
        </is>
      </c>
      <c r="S19" t="inlineStr">
        <is>
          <t>BUY-FILLED</t>
        </is>
      </c>
      <c r="W19" t="inlineStr">
        <is>
          <t>NORMAL</t>
        </is>
      </c>
    </row>
    <row r="20" ht="15" customHeight="1">
      <c r="A20" t="inlineStr">
        <is>
          <t>2026-06-19</t>
        </is>
      </c>
      <c r="B20" t="n">
        <v>3</v>
      </c>
      <c r="C20" t="inlineStr">
        <is>
          <t>CARTRADE</t>
        </is>
      </c>
      <c r="D20" s="5" t="inlineStr">
        <is>
          <t>SELL-STOP</t>
        </is>
      </c>
      <c r="E20" t="n">
        <v>2665</v>
      </c>
      <c r="F20" t="n">
        <v>2558.6</v>
      </c>
      <c r="G20" t="n">
        <v>1</v>
      </c>
      <c r="H20" t="n">
        <v>2665</v>
      </c>
      <c r="I20" t="n">
        <v>2783.4</v>
      </c>
      <c r="J20" s="4" t="n">
        <v>-15.5</v>
      </c>
      <c r="K20" t="n">
        <v>-0.6</v>
      </c>
      <c r="L20" t="n">
        <v>2585.05</v>
      </c>
      <c r="M20" t="inlineStr">
        <is>
          <t>TIGHT</t>
        </is>
      </c>
      <c r="N20" t="n">
        <v>5.85</v>
      </c>
      <c r="O20" t="n">
        <v>6.15</v>
      </c>
      <c r="P20" t="inlineStr">
        <is>
          <t>ACCUMULATE 💚</t>
        </is>
      </c>
      <c r="Q20" t="n">
        <v>9</v>
      </c>
      <c r="R20" t="inlineStr">
        <is>
          <t>New Age Tech</t>
        </is>
      </c>
      <c r="S20" t="inlineStr">
        <is>
          <t>SELL-STOP</t>
        </is>
      </c>
      <c r="W20" t="inlineStr">
        <is>
          <t>NORMAL</t>
        </is>
      </c>
    </row>
    <row r="21" ht="15" customHeight="1">
      <c r="A21" t="inlineStr">
        <is>
          <t>2026-06-19</t>
        </is>
      </c>
      <c r="B21" t="n">
        <v>3</v>
      </c>
      <c r="C21" t="inlineStr">
        <is>
          <t>SUNPHARMA</t>
        </is>
      </c>
      <c r="D21" s="2" t="inlineStr">
        <is>
          <t>BUY-PENDING</t>
        </is>
      </c>
      <c r="E21" t="n">
        <v>1845</v>
      </c>
      <c r="G21" t="n">
        <v>2</v>
      </c>
      <c r="H21" t="n">
        <v>3690</v>
      </c>
      <c r="I21" t="n">
        <v>3806.8</v>
      </c>
      <c r="J21" s="3" t="n">
        <v>116.8</v>
      </c>
      <c r="K21" t="n">
        <v>3.17</v>
      </c>
      <c r="L21" t="n">
        <v>1715.85</v>
      </c>
      <c r="M21" t="inlineStr">
        <is>
          <t>RISK</t>
        </is>
      </c>
      <c r="N21" t="n">
        <v>7.45</v>
      </c>
      <c r="O21" t="n">
        <v>6.43</v>
      </c>
      <c r="P21" t="inlineStr">
        <is>
          <t>ACCUMULATE 💚</t>
        </is>
      </c>
      <c r="Q21" t="n">
        <v>17</v>
      </c>
      <c r="R21" t="inlineStr">
        <is>
          <t>Healthcare</t>
        </is>
      </c>
      <c r="S21" t="inlineStr">
        <is>
          <t>BUY-PENDING</t>
        </is>
      </c>
      <c r="W21" t="inlineStr">
        <is>
          <t>NORMAL</t>
        </is>
      </c>
    </row>
    <row r="22" ht="15" customHeight="1">
      <c r="A22" t="inlineStr">
        <is>
          <t>2026-06-19</t>
        </is>
      </c>
      <c r="B22" t="n">
        <v>3</v>
      </c>
      <c r="C22" t="inlineStr">
        <is>
          <t>DIVISLAB</t>
        </is>
      </c>
      <c r="D22" s="2" t="inlineStr">
        <is>
          <t>BUY-PENDING</t>
        </is>
      </c>
      <c r="M22" t="inlineStr">
        <is>
          <t>TIGHT</t>
        </is>
      </c>
      <c r="S22" t="inlineStr">
        <is>
          <t>BUY-PENDING</t>
        </is>
      </c>
      <c r="W22" t="inlineStr">
        <is>
          <t>NORMAL</t>
        </is>
      </c>
    </row>
    <row r="23" ht="15" customHeight="1">
      <c r="A23" t="inlineStr">
        <is>
          <t>2026-06-19</t>
        </is>
      </c>
      <c r="B23" t="n">
        <v>3</v>
      </c>
      <c r="C23" t="inlineStr">
        <is>
          <t>PHOENIXLTD</t>
        </is>
      </c>
      <c r="D23" s="2" t="inlineStr">
        <is>
          <t>BUY-PENDING</t>
        </is>
      </c>
      <c r="E23" t="n">
        <v>1964</v>
      </c>
      <c r="G23" t="n">
        <v>1</v>
      </c>
      <c r="H23" t="n">
        <v>1964</v>
      </c>
      <c r="I23" t="n">
        <v>2075.1</v>
      </c>
      <c r="J23" s="3" t="n">
        <v>111.1</v>
      </c>
      <c r="K23" t="n">
        <v>5.66</v>
      </c>
      <c r="L23" t="n">
        <v>1905.08</v>
      </c>
      <c r="M23" t="inlineStr">
        <is>
          <t>TIGHT</t>
        </is>
      </c>
      <c r="N23" t="n">
        <v>6.35</v>
      </c>
      <c r="O23" t="n">
        <v>6.67</v>
      </c>
      <c r="P23" t="inlineStr">
        <is>
          <t>HOLD ⚖️</t>
        </is>
      </c>
      <c r="Q23" t="n">
        <v>8</v>
      </c>
      <c r="R23" t="inlineStr">
        <is>
          <t>Real Estate</t>
        </is>
      </c>
      <c r="S23" t="inlineStr">
        <is>
          <t>BUY-PENDING</t>
        </is>
      </c>
      <c r="W23" t="inlineStr">
        <is>
          <t>NORMAL</t>
        </is>
      </c>
    </row>
    <row r="24" ht="15" customHeight="1">
      <c r="A24" t="inlineStr">
        <is>
          <t>2026-06-19</t>
        </is>
      </c>
      <c r="B24" t="n">
        <v>3</v>
      </c>
      <c r="C24" t="inlineStr">
        <is>
          <t>NYKAA</t>
        </is>
      </c>
      <c r="D24" s="2" t="inlineStr">
        <is>
          <t>BUY-PENDING</t>
        </is>
      </c>
      <c r="E24" t="n">
        <v>301.3</v>
      </c>
      <c r="G24" t="n">
        <v>13</v>
      </c>
      <c r="H24" t="n">
        <v>3916.9</v>
      </c>
      <c r="I24" t="n">
        <v>4097.6</v>
      </c>
      <c r="J24" s="3" t="n">
        <v>180.7</v>
      </c>
      <c r="K24" t="n">
        <v>4.61</v>
      </c>
      <c r="L24" t="n">
        <v>292.26</v>
      </c>
      <c r="M24" t="inlineStr">
        <is>
          <t>TIGHT</t>
        </is>
      </c>
      <c r="N24" t="n">
        <v>5</v>
      </c>
      <c r="O24" t="n">
        <v>6.22</v>
      </c>
      <c r="P24" t="inlineStr">
        <is>
          <t>ACCUMULATE 💚</t>
        </is>
      </c>
      <c r="Q24" t="n">
        <v>10</v>
      </c>
      <c r="R24" t="inlineStr">
        <is>
          <t>New Age Tech</t>
        </is>
      </c>
      <c r="S24" t="inlineStr">
        <is>
          <t>BUY-PENDING</t>
        </is>
      </c>
      <c r="W24" t="inlineStr">
        <is>
          <t>NORMAL</t>
        </is>
      </c>
    </row>
    <row r="25" ht="15" customHeight="1">
      <c r="A25" t="inlineStr">
        <is>
          <t>2026-06-19</t>
        </is>
      </c>
      <c r="B25" t="n">
        <v>3</v>
      </c>
      <c r="C25" t="inlineStr">
        <is>
          <t>PRESTIGE</t>
        </is>
      </c>
      <c r="D25" s="2" t="inlineStr">
        <is>
          <t>BUY-PENDING</t>
        </is>
      </c>
      <c r="E25" t="n">
        <v>1504.3</v>
      </c>
      <c r="G25" t="n">
        <v>2</v>
      </c>
      <c r="H25" t="n">
        <v>3008.6</v>
      </c>
      <c r="I25" t="n">
        <v>3346.6</v>
      </c>
      <c r="J25" s="3" t="n">
        <v>338</v>
      </c>
      <c r="K25" t="n">
        <v>11.23</v>
      </c>
      <c r="L25" t="n">
        <v>1459.17</v>
      </c>
      <c r="M25" t="inlineStr">
        <is>
          <t>TIGHT</t>
        </is>
      </c>
      <c r="N25" t="n">
        <v>6.35</v>
      </c>
      <c r="O25" t="n">
        <v>6.8</v>
      </c>
      <c r="P25" t="inlineStr">
        <is>
          <t>HOLD ⚖️</t>
        </is>
      </c>
      <c r="Q25" t="n">
        <v>17</v>
      </c>
      <c r="R25" t="inlineStr">
        <is>
          <t>Real Estate</t>
        </is>
      </c>
      <c r="S25" t="inlineStr">
        <is>
          <t>BUY-PENDING</t>
        </is>
      </c>
      <c r="W25" t="inlineStr">
        <is>
          <t>NORMAL</t>
        </is>
      </c>
    </row>
    <row r="26" ht="15" customHeight="1">
      <c r="A26" t="inlineStr">
        <is>
          <t>2026-06-22</t>
        </is>
      </c>
      <c r="B26" t="n">
        <v>4</v>
      </c>
      <c r="C26" t="inlineStr">
        <is>
          <t>SUNPHARMA</t>
        </is>
      </c>
      <c r="D26" s="2" t="inlineStr">
        <is>
          <t>BUY-FILLED</t>
        </is>
      </c>
      <c r="E26" t="n">
        <v>1845</v>
      </c>
      <c r="G26" t="n">
        <v>2</v>
      </c>
      <c r="H26" t="n">
        <v>3690</v>
      </c>
      <c r="I26" t="n">
        <v>3806.8</v>
      </c>
      <c r="J26" s="3" t="n">
        <v>116.8</v>
      </c>
      <c r="K26" t="n">
        <v>3.17</v>
      </c>
      <c r="L26" t="n">
        <v>1715.85</v>
      </c>
      <c r="M26" t="inlineStr">
        <is>
          <t>RISK</t>
        </is>
      </c>
      <c r="N26" t="n">
        <v>7.45</v>
      </c>
      <c r="O26" t="n">
        <v>6.43</v>
      </c>
      <c r="P26" t="inlineStr">
        <is>
          <t>ACCUMULATE 💚</t>
        </is>
      </c>
      <c r="Q26" t="n">
        <v>17</v>
      </c>
      <c r="R26" t="inlineStr">
        <is>
          <t>Healthcare</t>
        </is>
      </c>
      <c r="S26" t="inlineStr">
        <is>
          <t>BUY-FILLED</t>
        </is>
      </c>
      <c r="W26" t="inlineStr">
        <is>
          <t>NORMAL</t>
        </is>
      </c>
    </row>
    <row r="27" ht="15" customHeight="1">
      <c r="A27" t="inlineStr">
        <is>
          <t>2026-06-22</t>
        </is>
      </c>
      <c r="B27" t="n">
        <v>4</v>
      </c>
      <c r="C27" t="inlineStr">
        <is>
          <t>PHOENIXLTD</t>
        </is>
      </c>
      <c r="D27" s="2" t="inlineStr">
        <is>
          <t>BUY-FILLED</t>
        </is>
      </c>
      <c r="E27" t="n">
        <v>1964</v>
      </c>
      <c r="F27" t="n">
        <v>1871.1</v>
      </c>
      <c r="G27" t="n">
        <v>1</v>
      </c>
      <c r="H27" t="n">
        <v>1964</v>
      </c>
      <c r="I27" t="n">
        <v>2075.1</v>
      </c>
      <c r="J27" s="4" t="n">
        <v>-19.3</v>
      </c>
      <c r="K27" t="n">
        <v>-1.02</v>
      </c>
      <c r="L27" t="n">
        <v>1905.08</v>
      </c>
      <c r="M27" t="inlineStr">
        <is>
          <t>TIGHT</t>
        </is>
      </c>
      <c r="N27" t="n">
        <v>6.35</v>
      </c>
      <c r="O27" t="n">
        <v>6.67</v>
      </c>
      <c r="P27" t="inlineStr">
        <is>
          <t>HOLD ⚖️</t>
        </is>
      </c>
      <c r="Q27" t="n">
        <v>8</v>
      </c>
      <c r="R27" t="inlineStr">
        <is>
          <t>Real Estate</t>
        </is>
      </c>
      <c r="S27" t="inlineStr">
        <is>
          <t>SELL-STOP</t>
        </is>
      </c>
      <c r="W27" t="inlineStr">
        <is>
          <t>NORMAL</t>
        </is>
      </c>
    </row>
    <row r="28" ht="15" customHeight="1">
      <c r="A28" t="inlineStr">
        <is>
          <t>2026-06-22</t>
        </is>
      </c>
      <c r="B28" t="n">
        <v>4</v>
      </c>
      <c r="C28" t="inlineStr">
        <is>
          <t>NYKAA</t>
        </is>
      </c>
      <c r="D28" s="2" t="inlineStr">
        <is>
          <t>BUY-FILLED</t>
        </is>
      </c>
      <c r="E28" t="n">
        <v>301.3</v>
      </c>
      <c r="G28" t="n">
        <v>13</v>
      </c>
      <c r="H28" t="n">
        <v>3916.9</v>
      </c>
      <c r="I28" t="n">
        <v>4097.6</v>
      </c>
      <c r="J28" s="3" t="n">
        <v>180.7</v>
      </c>
      <c r="K28" t="n">
        <v>4.61</v>
      </c>
      <c r="L28" t="n">
        <v>292.26</v>
      </c>
      <c r="M28" t="inlineStr">
        <is>
          <t>TIGHT</t>
        </is>
      </c>
      <c r="N28" t="n">
        <v>5</v>
      </c>
      <c r="O28" t="n">
        <v>6.22</v>
      </c>
      <c r="P28" t="inlineStr">
        <is>
          <t>ACCUMULATE 💚</t>
        </is>
      </c>
      <c r="Q28" t="n">
        <v>10</v>
      </c>
      <c r="R28" t="inlineStr">
        <is>
          <t>New Age Tech</t>
        </is>
      </c>
      <c r="S28" t="inlineStr">
        <is>
          <t>BUY-FILLED</t>
        </is>
      </c>
      <c r="W28" t="inlineStr">
        <is>
          <t>NORMAL</t>
        </is>
      </c>
    </row>
    <row r="29" ht="15" customHeight="1">
      <c r="A29" t="inlineStr">
        <is>
          <t>2026-06-22</t>
        </is>
      </c>
      <c r="B29" t="n">
        <v>4</v>
      </c>
      <c r="C29" t="inlineStr">
        <is>
          <t>PRESTIGE</t>
        </is>
      </c>
      <c r="D29" s="2" t="inlineStr">
        <is>
          <t>BUY-FILLED</t>
        </is>
      </c>
      <c r="E29" t="n">
        <v>1504.3</v>
      </c>
      <c r="G29" t="n">
        <v>2</v>
      </c>
      <c r="H29" t="n">
        <v>3008.6</v>
      </c>
      <c r="I29" t="n">
        <v>3346.6</v>
      </c>
      <c r="J29" s="3" t="n">
        <v>338</v>
      </c>
      <c r="K29" t="n">
        <v>11.23</v>
      </c>
      <c r="L29" t="n">
        <v>1459.17</v>
      </c>
      <c r="M29" t="inlineStr">
        <is>
          <t>TIGHT</t>
        </is>
      </c>
      <c r="N29" t="n">
        <v>6.35</v>
      </c>
      <c r="O29" t="n">
        <v>6.8</v>
      </c>
      <c r="P29" t="inlineStr">
        <is>
          <t>HOLD ⚖️</t>
        </is>
      </c>
      <c r="Q29" t="n">
        <v>17</v>
      </c>
      <c r="R29" t="inlineStr">
        <is>
          <t>Real Estate</t>
        </is>
      </c>
      <c r="S29" t="inlineStr">
        <is>
          <t>BUY-FILLED</t>
        </is>
      </c>
      <c r="W29" t="inlineStr">
        <is>
          <t>NORMAL</t>
        </is>
      </c>
    </row>
    <row r="30" ht="15" customHeight="1">
      <c r="A30" t="inlineStr">
        <is>
          <t>2026-06-22</t>
        </is>
      </c>
      <c r="B30" t="n">
        <v>4</v>
      </c>
      <c r="C30" t="inlineStr">
        <is>
          <t>PHOENIXLTD</t>
        </is>
      </c>
      <c r="D30" s="5" t="inlineStr">
        <is>
          <t>SELL-STOP</t>
        </is>
      </c>
      <c r="E30" t="n">
        <v>1964</v>
      </c>
      <c r="F30" t="n">
        <v>1871.1</v>
      </c>
      <c r="G30" t="n">
        <v>1</v>
      </c>
      <c r="H30" t="n">
        <v>1964</v>
      </c>
      <c r="I30" t="n">
        <v>2075.1</v>
      </c>
      <c r="J30" s="4" t="n">
        <v>-19.3</v>
      </c>
      <c r="K30" t="n">
        <v>-1.02</v>
      </c>
      <c r="L30" t="n">
        <v>1905.08</v>
      </c>
      <c r="M30" t="inlineStr">
        <is>
          <t>TIGHT</t>
        </is>
      </c>
      <c r="N30" t="n">
        <v>6.35</v>
      </c>
      <c r="O30" t="n">
        <v>6.67</v>
      </c>
      <c r="P30" t="inlineStr">
        <is>
          <t>HOLD ⚖️</t>
        </is>
      </c>
      <c r="Q30" t="n">
        <v>8</v>
      </c>
      <c r="R30" t="inlineStr">
        <is>
          <t>Real Estate</t>
        </is>
      </c>
      <c r="S30" t="inlineStr">
        <is>
          <t>SELL-STOP</t>
        </is>
      </c>
      <c r="W30" t="inlineStr">
        <is>
          <t>NORMAL</t>
        </is>
      </c>
    </row>
    <row r="31" ht="15" customHeight="1">
      <c r="A31" t="inlineStr">
        <is>
          <t>2026-06-22</t>
        </is>
      </c>
      <c r="B31" t="n">
        <v>4</v>
      </c>
      <c r="C31" t="inlineStr">
        <is>
          <t>CIPLA</t>
        </is>
      </c>
      <c r="D31" s="2" t="inlineStr">
        <is>
          <t>BUY-PENDING</t>
        </is>
      </c>
      <c r="E31" t="n">
        <v>1422.8</v>
      </c>
      <c r="G31" t="n">
        <v>2</v>
      </c>
      <c r="H31" t="n">
        <v>2845.6</v>
      </c>
      <c r="I31" t="n">
        <v>2903.6</v>
      </c>
      <c r="J31" s="3" t="n">
        <v>58</v>
      </c>
      <c r="K31" t="n">
        <v>2.04</v>
      </c>
      <c r="L31" t="n">
        <v>1280.52</v>
      </c>
      <c r="M31" t="inlineStr">
        <is>
          <t>RISK</t>
        </is>
      </c>
      <c r="N31" t="n">
        <v>7.78</v>
      </c>
      <c r="O31" t="n">
        <v>7.2</v>
      </c>
      <c r="P31" t="inlineStr">
        <is>
          <t>ACCUMULATE 💚</t>
        </is>
      </c>
      <c r="Q31" t="n">
        <v>16</v>
      </c>
      <c r="R31" t="inlineStr">
        <is>
          <t>Healthcare</t>
        </is>
      </c>
      <c r="S31" t="inlineStr">
        <is>
          <t>BUY-PENDING</t>
        </is>
      </c>
      <c r="W31" t="inlineStr">
        <is>
          <t>NORMAL</t>
        </is>
      </c>
    </row>
    <row r="32" ht="15" customHeight="1">
      <c r="A32" t="inlineStr">
        <is>
          <t>2026-06-22</t>
        </is>
      </c>
      <c r="B32" t="n">
        <v>4</v>
      </c>
      <c r="C32" t="inlineStr">
        <is>
          <t>ZEEL</t>
        </is>
      </c>
      <c r="D32" s="2" t="inlineStr">
        <is>
          <t>BUY-PENDING</t>
        </is>
      </c>
      <c r="M32" t="inlineStr">
        <is>
          <t>TIGHT</t>
        </is>
      </c>
      <c r="S32" t="inlineStr">
        <is>
          <t>BUY-PENDING</t>
        </is>
      </c>
      <c r="W32" t="inlineStr">
        <is>
          <t>NORMAL</t>
        </is>
      </c>
    </row>
    <row r="33" ht="15" customHeight="1">
      <c r="A33" t="inlineStr">
        <is>
          <t>2026-06-22</t>
        </is>
      </c>
      <c r="B33" t="n">
        <v>4</v>
      </c>
      <c r="C33" t="inlineStr">
        <is>
          <t>POLICYBZR</t>
        </is>
      </c>
      <c r="D33" s="2" t="inlineStr">
        <is>
          <t>BUY-PENDING</t>
        </is>
      </c>
      <c r="M33" t="inlineStr">
        <is>
          <t>TIGHT</t>
        </is>
      </c>
      <c r="S33" t="inlineStr">
        <is>
          <t>BUY-PENDING</t>
        </is>
      </c>
      <c r="W33" t="inlineStr">
        <is>
          <t>NORMAL</t>
        </is>
      </c>
    </row>
    <row r="34" ht="15" customHeight="1">
      <c r="A34" t="inlineStr">
        <is>
          <t>2026-06-22</t>
        </is>
      </c>
      <c r="B34" t="n">
        <v>4</v>
      </c>
      <c r="C34" t="inlineStr">
        <is>
          <t>PHOENIXLTD</t>
        </is>
      </c>
      <c r="D34" s="2" t="inlineStr">
        <is>
          <t>BUY-PENDING</t>
        </is>
      </c>
      <c r="E34" t="n">
        <v>1964</v>
      </c>
      <c r="F34" t="n">
        <v>1871.1</v>
      </c>
      <c r="G34" t="n">
        <v>1</v>
      </c>
      <c r="H34" t="n">
        <v>1964</v>
      </c>
      <c r="I34" t="n">
        <v>2075.1</v>
      </c>
      <c r="J34" s="4" t="n">
        <v>-19.3</v>
      </c>
      <c r="K34" t="n">
        <v>-1.02</v>
      </c>
      <c r="L34" t="n">
        <v>1905.08</v>
      </c>
      <c r="M34" t="inlineStr">
        <is>
          <t>TIGHT</t>
        </is>
      </c>
      <c r="N34" t="n">
        <v>6.35</v>
      </c>
      <c r="O34" t="n">
        <v>6.67</v>
      </c>
      <c r="P34" t="inlineStr">
        <is>
          <t>HOLD ⚖️</t>
        </is>
      </c>
      <c r="Q34" t="n">
        <v>8</v>
      </c>
      <c r="R34" t="inlineStr">
        <is>
          <t>Real Estate</t>
        </is>
      </c>
      <c r="S34" t="inlineStr">
        <is>
          <t>SELL-STOP</t>
        </is>
      </c>
      <c r="W34" t="inlineStr">
        <is>
          <t>NORMAL</t>
        </is>
      </c>
    </row>
    <row r="35" ht="15" customHeight="1">
      <c r="A35" t="inlineStr">
        <is>
          <t>2026-06-22</t>
        </is>
      </c>
      <c r="B35" t="n">
        <v>4</v>
      </c>
      <c r="C35" t="inlineStr">
        <is>
          <t>IDEA</t>
        </is>
      </c>
      <c r="D35" s="2" t="inlineStr">
        <is>
          <t>BUY-PENDING</t>
        </is>
      </c>
      <c r="M35" t="inlineStr">
        <is>
          <t>TIGHT</t>
        </is>
      </c>
      <c r="S35" t="inlineStr">
        <is>
          <t>BUY-PENDING</t>
        </is>
      </c>
      <c r="W35" t="inlineStr">
        <is>
          <t>NORMAL</t>
        </is>
      </c>
    </row>
    <row r="36" ht="15" customHeight="1">
      <c r="A36" t="inlineStr">
        <is>
          <t>2026-06-23</t>
        </is>
      </c>
      <c r="B36" t="n">
        <v>5</v>
      </c>
      <c r="C36" t="inlineStr">
        <is>
          <t>CIPLA</t>
        </is>
      </c>
      <c r="D36" s="2" t="inlineStr">
        <is>
          <t>BUY-FILLED</t>
        </is>
      </c>
      <c r="E36" t="n">
        <v>1422.8</v>
      </c>
      <c r="G36" t="n">
        <v>2</v>
      </c>
      <c r="H36" t="n">
        <v>2845.6</v>
      </c>
      <c r="I36" t="n">
        <v>2903.6</v>
      </c>
      <c r="J36" s="3" t="n">
        <v>58</v>
      </c>
      <c r="K36" t="n">
        <v>2.04</v>
      </c>
      <c r="L36" t="n">
        <v>1280.52</v>
      </c>
      <c r="M36" t="inlineStr">
        <is>
          <t>RISK</t>
        </is>
      </c>
      <c r="N36" t="n">
        <v>7.78</v>
      </c>
      <c r="O36" t="n">
        <v>7.2</v>
      </c>
      <c r="P36" t="inlineStr">
        <is>
          <t>ACCUMULATE 💚</t>
        </is>
      </c>
      <c r="Q36" t="n">
        <v>16</v>
      </c>
      <c r="R36" t="inlineStr">
        <is>
          <t>Healthcare</t>
        </is>
      </c>
      <c r="S36" t="inlineStr">
        <is>
          <t>BUY-FILLED</t>
        </is>
      </c>
      <c r="W36" t="inlineStr">
        <is>
          <t>NORMAL</t>
        </is>
      </c>
    </row>
    <row r="37" ht="15" customHeight="1">
      <c r="A37" t="inlineStr">
        <is>
          <t>2026-06-23</t>
        </is>
      </c>
      <c r="B37" t="n">
        <v>5</v>
      </c>
      <c r="C37" t="inlineStr">
        <is>
          <t>ZEEL</t>
        </is>
      </c>
      <c r="D37" s="2" t="inlineStr">
        <is>
          <t>BUY-FILLED</t>
        </is>
      </c>
      <c r="E37" t="n">
        <v>116.49</v>
      </c>
      <c r="F37" t="n">
        <v>114.86</v>
      </c>
      <c r="G37" t="n">
        <v>26</v>
      </c>
      <c r="H37" t="n">
        <v>3028.74</v>
      </c>
      <c r="J37" s="4" t="n">
        <v>-42.38</v>
      </c>
      <c r="K37" t="n">
        <v>-1.4</v>
      </c>
      <c r="M37" t="inlineStr">
        <is>
          <t>TIGHT</t>
        </is>
      </c>
      <c r="Q37" t="n">
        <v>1</v>
      </c>
      <c r="R37" t="inlineStr">
        <is>
          <t>Media &amp; Entertainment</t>
        </is>
      </c>
      <c r="S37" t="inlineStr">
        <is>
          <t>SELL-STOP</t>
        </is>
      </c>
      <c r="W37" t="inlineStr">
        <is>
          <t>NORMAL</t>
        </is>
      </c>
    </row>
    <row r="38" ht="15" customHeight="1">
      <c r="A38" t="inlineStr">
        <is>
          <t>2026-06-23</t>
        </is>
      </c>
      <c r="B38" t="n">
        <v>5</v>
      </c>
      <c r="C38" t="inlineStr">
        <is>
          <t>POLICYBZR</t>
        </is>
      </c>
      <c r="D38" s="2" t="inlineStr">
        <is>
          <t>BUY-FILLED</t>
        </is>
      </c>
      <c r="E38" t="n">
        <v>1662.1</v>
      </c>
      <c r="F38" t="n">
        <v>1622.4</v>
      </c>
      <c r="G38" t="n">
        <v>1</v>
      </c>
      <c r="H38" t="n">
        <v>1662.1</v>
      </c>
      <c r="J38" s="4" t="n">
        <v>-39.7</v>
      </c>
      <c r="K38" t="n">
        <v>-2.39</v>
      </c>
      <c r="M38" t="inlineStr">
        <is>
          <t>TIGHT</t>
        </is>
      </c>
      <c r="Q38" t="n">
        <v>1</v>
      </c>
      <c r="R38" t="inlineStr">
        <is>
          <t>New Age Tech</t>
        </is>
      </c>
      <c r="S38" t="inlineStr">
        <is>
          <t>SELL-STOP</t>
        </is>
      </c>
      <c r="W38" t="inlineStr">
        <is>
          <t>NORMAL</t>
        </is>
      </c>
    </row>
    <row r="39" ht="15" customHeight="1">
      <c r="A39" t="inlineStr">
        <is>
          <t>2026-06-23</t>
        </is>
      </c>
      <c r="B39" t="n">
        <v>5</v>
      </c>
      <c r="C39" t="inlineStr">
        <is>
          <t>PHOENIXLTD</t>
        </is>
      </c>
      <c r="D39" s="2" t="inlineStr">
        <is>
          <t>BUY-FILLED</t>
        </is>
      </c>
      <c r="E39" t="n">
        <v>1964</v>
      </c>
      <c r="F39" t="n">
        <v>1851.6</v>
      </c>
      <c r="G39" t="n">
        <v>1</v>
      </c>
      <c r="H39" t="n">
        <v>1964</v>
      </c>
      <c r="I39" t="n">
        <v>2075.1</v>
      </c>
      <c r="J39" s="4" t="n">
        <v>-28.2</v>
      </c>
      <c r="K39" t="n">
        <v>-1.5</v>
      </c>
      <c r="L39" t="n">
        <v>1905.08</v>
      </c>
      <c r="M39" t="inlineStr">
        <is>
          <t>TIGHT</t>
        </is>
      </c>
      <c r="N39" t="n">
        <v>6.35</v>
      </c>
      <c r="O39" t="n">
        <v>6.67</v>
      </c>
      <c r="P39" t="inlineStr">
        <is>
          <t>HOLD ⚖️</t>
        </is>
      </c>
      <c r="Q39" t="n">
        <v>8</v>
      </c>
      <c r="R39" t="inlineStr">
        <is>
          <t>Real Estate</t>
        </is>
      </c>
      <c r="S39" t="inlineStr">
        <is>
          <t>SELL-STOP</t>
        </is>
      </c>
      <c r="W39" t="inlineStr">
        <is>
          <t>NORMAL</t>
        </is>
      </c>
    </row>
    <row r="40" ht="15" customHeight="1">
      <c r="A40" t="inlineStr">
        <is>
          <t>2026-06-23</t>
        </is>
      </c>
      <c r="B40" t="n">
        <v>5</v>
      </c>
      <c r="C40" t="inlineStr">
        <is>
          <t>IDEA</t>
        </is>
      </c>
      <c r="D40" s="2" t="inlineStr">
        <is>
          <t>BUY-FILLED</t>
        </is>
      </c>
      <c r="E40" t="n">
        <v>14.84</v>
      </c>
      <c r="F40" t="n">
        <v>14.45</v>
      </c>
      <c r="G40" t="n">
        <v>198</v>
      </c>
      <c r="H40" t="n">
        <v>2938.32</v>
      </c>
      <c r="J40" s="4" t="n">
        <v>-77.22</v>
      </c>
      <c r="K40" t="n">
        <v>-2.63</v>
      </c>
      <c r="M40" t="inlineStr">
        <is>
          <t>TIGHT</t>
        </is>
      </c>
      <c r="Q40" t="n">
        <v>1</v>
      </c>
      <c r="R40" t="inlineStr">
        <is>
          <t>Telecom</t>
        </is>
      </c>
      <c r="S40" t="inlineStr">
        <is>
          <t>SELL-STOP</t>
        </is>
      </c>
      <c r="W40" t="inlineStr">
        <is>
          <t>NORMAL</t>
        </is>
      </c>
    </row>
    <row r="41" ht="15" customHeight="1">
      <c r="A41" t="inlineStr">
        <is>
          <t>2026-06-23</t>
        </is>
      </c>
      <c r="B41" t="n">
        <v>5</v>
      </c>
      <c r="C41" t="inlineStr">
        <is>
          <t>SBIN</t>
        </is>
      </c>
      <c r="D41" s="5" t="inlineStr">
        <is>
          <t>SELL-STOP</t>
        </is>
      </c>
      <c r="E41" t="n">
        <v>1024</v>
      </c>
      <c r="F41" t="n">
        <v>1024.2</v>
      </c>
      <c r="G41" t="n">
        <v>4</v>
      </c>
      <c r="H41" t="n">
        <v>4096</v>
      </c>
      <c r="I41" t="n">
        <v>4152.4</v>
      </c>
      <c r="J41" s="4" t="n">
        <v>-29.6</v>
      </c>
      <c r="K41" t="n">
        <v>-0.36</v>
      </c>
      <c r="L41" t="n">
        <v>993.28</v>
      </c>
      <c r="M41" t="inlineStr">
        <is>
          <t>TIGHT</t>
        </is>
      </c>
      <c r="N41" t="n">
        <v>6.3</v>
      </c>
      <c r="O41" t="n">
        <v>6.83</v>
      </c>
      <c r="P41" t="inlineStr">
        <is>
          <t>ACCUMULATE 💚</t>
        </is>
      </c>
      <c r="Q41" t="n">
        <v>15</v>
      </c>
      <c r="R41" t="inlineStr">
        <is>
          <t>Financial Services</t>
        </is>
      </c>
      <c r="S41" t="inlineStr">
        <is>
          <t>SELL-STOP</t>
        </is>
      </c>
      <c r="W41" t="inlineStr">
        <is>
          <t>NORMAL</t>
        </is>
      </c>
    </row>
    <row r="42" ht="15" customHeight="1">
      <c r="A42" t="inlineStr">
        <is>
          <t>2026-06-23</t>
        </is>
      </c>
      <c r="B42" t="n">
        <v>5</v>
      </c>
      <c r="C42" t="inlineStr">
        <is>
          <t>DLF</t>
        </is>
      </c>
      <c r="D42" s="5" t="inlineStr">
        <is>
          <t>SELL-STOP</t>
        </is>
      </c>
      <c r="E42" t="n">
        <v>623.55</v>
      </c>
      <c r="F42" t="n">
        <v>612.35</v>
      </c>
      <c r="G42" t="n">
        <v>11</v>
      </c>
      <c r="H42" t="n">
        <v>6859.05</v>
      </c>
      <c r="J42" s="4" t="n">
        <v>-123.2</v>
      </c>
      <c r="K42" t="n">
        <v>-1.8</v>
      </c>
      <c r="M42" t="inlineStr">
        <is>
          <t>TIGHT</t>
        </is>
      </c>
      <c r="Q42" t="n">
        <v>6</v>
      </c>
      <c r="R42" t="inlineStr">
        <is>
          <t>Real Estate</t>
        </is>
      </c>
      <c r="S42" t="inlineStr">
        <is>
          <t>SELL-STOP</t>
        </is>
      </c>
      <c r="W42" t="inlineStr">
        <is>
          <t>NORMAL</t>
        </is>
      </c>
    </row>
    <row r="43" ht="15" customHeight="1">
      <c r="A43" t="inlineStr">
        <is>
          <t>2026-06-23</t>
        </is>
      </c>
      <c r="B43" t="n">
        <v>5</v>
      </c>
      <c r="C43" t="inlineStr">
        <is>
          <t>ICICIBANK</t>
        </is>
      </c>
      <c r="D43" s="5" t="inlineStr">
        <is>
          <t>SELL-STOP</t>
        </is>
      </c>
      <c r="E43" t="n">
        <v>1340.6</v>
      </c>
      <c r="F43" t="n">
        <v>1338.3</v>
      </c>
      <c r="G43" t="n">
        <v>3</v>
      </c>
      <c r="H43" t="n">
        <v>4021.8</v>
      </c>
      <c r="I43" t="n">
        <v>4244.1</v>
      </c>
      <c r="J43" s="4" t="n">
        <v>-6.6</v>
      </c>
      <c r="K43" t="n">
        <v>-0.16</v>
      </c>
      <c r="L43" t="n">
        <v>1300.38</v>
      </c>
      <c r="M43" t="inlineStr">
        <is>
          <t>TIGHT</t>
        </is>
      </c>
      <c r="N43" t="n">
        <v>6.95</v>
      </c>
      <c r="O43" t="n">
        <v>6.23</v>
      </c>
      <c r="P43" t="inlineStr">
        <is>
          <t>HOLD ⚖️</t>
        </is>
      </c>
      <c r="Q43" t="n">
        <v>15</v>
      </c>
      <c r="R43" t="inlineStr">
        <is>
          <t>Financial Services</t>
        </is>
      </c>
      <c r="S43" t="inlineStr">
        <is>
          <t>SELL-STOP</t>
        </is>
      </c>
      <c r="W43" t="inlineStr">
        <is>
          <t>NORMAL</t>
        </is>
      </c>
    </row>
    <row r="44" ht="15" customHeight="1">
      <c r="A44" t="inlineStr">
        <is>
          <t>2026-06-23</t>
        </is>
      </c>
      <c r="B44" t="n">
        <v>5</v>
      </c>
      <c r="C44" t="inlineStr">
        <is>
          <t>LT</t>
        </is>
      </c>
      <c r="D44" s="5" t="inlineStr">
        <is>
          <t>SELL-STOP</t>
        </is>
      </c>
      <c r="E44" t="n">
        <v>4190</v>
      </c>
      <c r="F44" t="n">
        <v>4179.4</v>
      </c>
      <c r="G44" t="n">
        <v>1</v>
      </c>
      <c r="H44" t="n">
        <v>4190</v>
      </c>
      <c r="J44" s="4" t="n">
        <v>-10.6</v>
      </c>
      <c r="K44" t="n">
        <v>-0.25</v>
      </c>
      <c r="M44" t="inlineStr">
        <is>
          <t>TIGHT</t>
        </is>
      </c>
      <c r="Q44" t="n">
        <v>5</v>
      </c>
      <c r="R44" t="inlineStr">
        <is>
          <t>Industrials</t>
        </is>
      </c>
      <c r="S44" t="inlineStr">
        <is>
          <t>SELL-STOP</t>
        </is>
      </c>
      <c r="W44" t="inlineStr">
        <is>
          <t>NORMAL</t>
        </is>
      </c>
    </row>
    <row r="45" ht="15" customHeight="1">
      <c r="A45" t="inlineStr">
        <is>
          <t>2026-06-23</t>
        </is>
      </c>
      <c r="B45" t="n">
        <v>5</v>
      </c>
      <c r="C45" t="inlineStr">
        <is>
          <t>HFCL</t>
        </is>
      </c>
      <c r="D45" s="5" t="inlineStr">
        <is>
          <t>SELL-STOP</t>
        </is>
      </c>
      <c r="E45" t="n">
        <v>202</v>
      </c>
      <c r="F45" t="n">
        <v>202.29</v>
      </c>
      <c r="G45" t="n">
        <v>24</v>
      </c>
      <c r="H45" t="n">
        <v>4848</v>
      </c>
      <c r="I45" t="n">
        <v>5424.96</v>
      </c>
      <c r="J45" s="4" t="n">
        <v>-98.7</v>
      </c>
      <c r="K45" t="n">
        <v>-2.27</v>
      </c>
      <c r="L45" t="n">
        <v>195.94</v>
      </c>
      <c r="M45" t="inlineStr">
        <is>
          <t>TIGHT</t>
        </is>
      </c>
      <c r="N45" t="n">
        <v>5.8</v>
      </c>
      <c r="O45" t="n">
        <v>6.72</v>
      </c>
      <c r="P45" t="inlineStr">
        <is>
          <t>ACCUMULATE 💚</t>
        </is>
      </c>
      <c r="Q45" t="n">
        <v>15</v>
      </c>
      <c r="R45" t="inlineStr">
        <is>
          <t>Telecom</t>
        </is>
      </c>
      <c r="S45" t="inlineStr">
        <is>
          <t>SELL-STOP</t>
        </is>
      </c>
      <c r="W45" t="inlineStr">
        <is>
          <t>NORMAL</t>
        </is>
      </c>
    </row>
    <row r="46" ht="15" customHeight="1">
      <c r="A46" t="inlineStr">
        <is>
          <t>2026-06-23</t>
        </is>
      </c>
      <c r="B46" t="n">
        <v>5</v>
      </c>
      <c r="C46" t="inlineStr">
        <is>
          <t>ZEEL</t>
        </is>
      </c>
      <c r="D46" s="5" t="inlineStr">
        <is>
          <t>SELL-STOP</t>
        </is>
      </c>
      <c r="E46" t="n">
        <v>116.49</v>
      </c>
      <c r="F46" t="n">
        <v>114.86</v>
      </c>
      <c r="G46" t="n">
        <v>26</v>
      </c>
      <c r="H46" t="n">
        <v>3028.74</v>
      </c>
      <c r="J46" s="4" t="n">
        <v>-42.38</v>
      </c>
      <c r="K46" t="n">
        <v>-1.4</v>
      </c>
      <c r="M46" t="inlineStr">
        <is>
          <t>TIGHT</t>
        </is>
      </c>
      <c r="Q46" t="n">
        <v>1</v>
      </c>
      <c r="R46" t="inlineStr">
        <is>
          <t>Media &amp; Entertainment</t>
        </is>
      </c>
      <c r="S46" t="inlineStr">
        <is>
          <t>SELL-STOP</t>
        </is>
      </c>
      <c r="W46" t="inlineStr">
        <is>
          <t>NORMAL</t>
        </is>
      </c>
    </row>
    <row r="47" ht="15" customHeight="1">
      <c r="A47" t="inlineStr">
        <is>
          <t>2026-06-23</t>
        </is>
      </c>
      <c r="B47" t="n">
        <v>5</v>
      </c>
      <c r="C47" t="inlineStr">
        <is>
          <t>POLICYBZR</t>
        </is>
      </c>
      <c r="D47" s="5" t="inlineStr">
        <is>
          <t>SELL-STOP</t>
        </is>
      </c>
      <c r="E47" t="n">
        <v>1662.1</v>
      </c>
      <c r="F47" t="n">
        <v>1622.4</v>
      </c>
      <c r="G47" t="n">
        <v>1</v>
      </c>
      <c r="H47" t="n">
        <v>1662.1</v>
      </c>
      <c r="J47" s="4" t="n">
        <v>-39.7</v>
      </c>
      <c r="K47" t="n">
        <v>-2.39</v>
      </c>
      <c r="M47" t="inlineStr">
        <is>
          <t>TIGHT</t>
        </is>
      </c>
      <c r="Q47" t="n">
        <v>1</v>
      </c>
      <c r="R47" t="inlineStr">
        <is>
          <t>New Age Tech</t>
        </is>
      </c>
      <c r="S47" t="inlineStr">
        <is>
          <t>SELL-STOP</t>
        </is>
      </c>
      <c r="W47" t="inlineStr">
        <is>
          <t>NORMAL</t>
        </is>
      </c>
    </row>
    <row r="48" ht="15" customHeight="1">
      <c r="A48" t="inlineStr">
        <is>
          <t>2026-06-23</t>
        </is>
      </c>
      <c r="B48" t="n">
        <v>5</v>
      </c>
      <c r="C48" t="inlineStr">
        <is>
          <t>PHOENIXLTD</t>
        </is>
      </c>
      <c r="D48" s="5" t="inlineStr">
        <is>
          <t>SELL-STOP</t>
        </is>
      </c>
      <c r="E48" t="n">
        <v>1964</v>
      </c>
      <c r="F48" t="n">
        <v>1851.6</v>
      </c>
      <c r="G48" t="n">
        <v>1</v>
      </c>
      <c r="H48" t="n">
        <v>1964</v>
      </c>
      <c r="I48" t="n">
        <v>2075.1</v>
      </c>
      <c r="J48" s="4" t="n">
        <v>-28.2</v>
      </c>
      <c r="K48" t="n">
        <v>-1.5</v>
      </c>
      <c r="L48" t="n">
        <v>1905.08</v>
      </c>
      <c r="M48" t="inlineStr">
        <is>
          <t>TIGHT</t>
        </is>
      </c>
      <c r="N48" t="n">
        <v>6.35</v>
      </c>
      <c r="O48" t="n">
        <v>6.67</v>
      </c>
      <c r="P48" t="inlineStr">
        <is>
          <t>HOLD ⚖️</t>
        </is>
      </c>
      <c r="Q48" t="n">
        <v>8</v>
      </c>
      <c r="R48" t="inlineStr">
        <is>
          <t>Real Estate</t>
        </is>
      </c>
      <c r="S48" t="inlineStr">
        <is>
          <t>SELL-STOP</t>
        </is>
      </c>
      <c r="W48" t="inlineStr">
        <is>
          <t>NORMAL</t>
        </is>
      </c>
    </row>
    <row r="49" ht="15" customHeight="1">
      <c r="A49" t="inlineStr">
        <is>
          <t>2026-06-23</t>
        </is>
      </c>
      <c r="B49" t="n">
        <v>5</v>
      </c>
      <c r="C49" t="inlineStr">
        <is>
          <t>IDEA</t>
        </is>
      </c>
      <c r="D49" s="5" t="inlineStr">
        <is>
          <t>SELL-STOP</t>
        </is>
      </c>
      <c r="E49" t="n">
        <v>14.84</v>
      </c>
      <c r="F49" t="n">
        <v>14.45</v>
      </c>
      <c r="G49" t="n">
        <v>198</v>
      </c>
      <c r="H49" t="n">
        <v>2938.32</v>
      </c>
      <c r="J49" s="4" t="n">
        <v>-77.22</v>
      </c>
      <c r="K49" t="n">
        <v>-2.63</v>
      </c>
      <c r="M49" t="inlineStr">
        <is>
          <t>TIGHT</t>
        </is>
      </c>
      <c r="Q49" t="n">
        <v>1</v>
      </c>
      <c r="R49" t="inlineStr">
        <is>
          <t>Telecom</t>
        </is>
      </c>
      <c r="S49" t="inlineStr">
        <is>
          <t>SELL-STOP</t>
        </is>
      </c>
      <c r="W49" t="inlineStr">
        <is>
          <t>NORMAL</t>
        </is>
      </c>
    </row>
    <row r="50" ht="15" customHeight="1">
      <c r="A50" t="inlineStr">
        <is>
          <t>2026-06-23</t>
        </is>
      </c>
      <c r="B50" t="n">
        <v>5</v>
      </c>
      <c r="C50" t="inlineStr">
        <is>
          <t>SBIN</t>
        </is>
      </c>
      <c r="D50" s="2" t="inlineStr">
        <is>
          <t>BUY-PENDING</t>
        </is>
      </c>
      <c r="E50" t="n">
        <v>1024</v>
      </c>
      <c r="F50" t="n">
        <v>1024.2</v>
      </c>
      <c r="G50" t="n">
        <v>4</v>
      </c>
      <c r="H50" t="n">
        <v>4096</v>
      </c>
      <c r="I50" t="n">
        <v>4152.4</v>
      </c>
      <c r="J50" s="4" t="n">
        <v>-29.6</v>
      </c>
      <c r="K50" t="n">
        <v>-0.36</v>
      </c>
      <c r="L50" t="n">
        <v>993.28</v>
      </c>
      <c r="M50" t="inlineStr">
        <is>
          <t>TIGHT</t>
        </is>
      </c>
      <c r="N50" t="n">
        <v>6.3</v>
      </c>
      <c r="O50" t="n">
        <v>6.83</v>
      </c>
      <c r="P50" t="inlineStr">
        <is>
          <t>ACCUMULATE 💚</t>
        </is>
      </c>
      <c r="Q50" t="n">
        <v>15</v>
      </c>
      <c r="R50" t="inlineStr">
        <is>
          <t>Financial Services</t>
        </is>
      </c>
      <c r="S50" t="inlineStr">
        <is>
          <t>SELL-STOP</t>
        </is>
      </c>
      <c r="W50" t="inlineStr">
        <is>
          <t>NORMAL</t>
        </is>
      </c>
    </row>
    <row r="51" ht="15" customHeight="1">
      <c r="A51" t="inlineStr">
        <is>
          <t>2026-06-23</t>
        </is>
      </c>
      <c r="B51" t="n">
        <v>5</v>
      </c>
      <c r="C51" t="inlineStr">
        <is>
          <t>HFCL</t>
        </is>
      </c>
      <c r="D51" s="2" t="inlineStr">
        <is>
          <t>BUY-PENDING</t>
        </is>
      </c>
      <c r="E51" t="n">
        <v>202</v>
      </c>
      <c r="F51" t="n">
        <v>202.29</v>
      </c>
      <c r="G51" t="n">
        <v>24</v>
      </c>
      <c r="H51" t="n">
        <v>4848</v>
      </c>
      <c r="I51" t="n">
        <v>5424.96</v>
      </c>
      <c r="J51" s="4" t="n">
        <v>-98.7</v>
      </c>
      <c r="K51" t="n">
        <v>-2.27</v>
      </c>
      <c r="L51" t="n">
        <v>195.94</v>
      </c>
      <c r="M51" t="inlineStr">
        <is>
          <t>TIGHT</t>
        </is>
      </c>
      <c r="N51" t="n">
        <v>5.8</v>
      </c>
      <c r="O51" t="n">
        <v>6.72</v>
      </c>
      <c r="P51" t="inlineStr">
        <is>
          <t>ACCUMULATE 💚</t>
        </is>
      </c>
      <c r="Q51" t="n">
        <v>15</v>
      </c>
      <c r="R51" t="inlineStr">
        <is>
          <t>Telecom</t>
        </is>
      </c>
      <c r="S51" t="inlineStr">
        <is>
          <t>SELL-STOP</t>
        </is>
      </c>
      <c r="W51" t="inlineStr">
        <is>
          <t>NORMAL</t>
        </is>
      </c>
    </row>
    <row r="52" ht="15" customHeight="1">
      <c r="A52" t="inlineStr">
        <is>
          <t>2026-06-23</t>
        </is>
      </c>
      <c r="B52" t="n">
        <v>5</v>
      </c>
      <c r="C52" t="inlineStr">
        <is>
          <t>CARTRADE</t>
        </is>
      </c>
      <c r="D52" s="2" t="inlineStr">
        <is>
          <t>BUY-PENDING</t>
        </is>
      </c>
      <c r="E52" t="n">
        <v>2665</v>
      </c>
      <c r="G52" t="n">
        <v>1</v>
      </c>
      <c r="H52" t="n">
        <v>2665</v>
      </c>
      <c r="I52" t="n">
        <v>2783.4</v>
      </c>
      <c r="J52" s="3" t="n">
        <v>118.4</v>
      </c>
      <c r="K52" t="n">
        <v>4.44</v>
      </c>
      <c r="L52" t="n">
        <v>2585.05</v>
      </c>
      <c r="M52" t="inlineStr">
        <is>
          <t>TIGHT</t>
        </is>
      </c>
      <c r="N52" t="n">
        <v>5.85</v>
      </c>
      <c r="O52" t="n">
        <v>6.15</v>
      </c>
      <c r="P52" t="inlineStr">
        <is>
          <t>ACCUMULATE 💚</t>
        </is>
      </c>
      <c r="Q52" t="n">
        <v>9</v>
      </c>
      <c r="R52" t="inlineStr">
        <is>
          <t>New Age Tech</t>
        </is>
      </c>
      <c r="S52" t="inlineStr">
        <is>
          <t>BUY-PENDING</t>
        </is>
      </c>
      <c r="W52" t="inlineStr">
        <is>
          <t>NORMAL</t>
        </is>
      </c>
    </row>
    <row r="53" ht="15" customHeight="1">
      <c r="A53" t="inlineStr">
        <is>
          <t>2026-06-23</t>
        </is>
      </c>
      <c r="B53" t="n">
        <v>5</v>
      </c>
      <c r="C53" t="inlineStr">
        <is>
          <t>ZEEL</t>
        </is>
      </c>
      <c r="D53" s="2" t="inlineStr">
        <is>
          <t>BUY-PENDING</t>
        </is>
      </c>
      <c r="E53" t="n">
        <v>116.49</v>
      </c>
      <c r="F53" t="n">
        <v>114.86</v>
      </c>
      <c r="G53" t="n">
        <v>26</v>
      </c>
      <c r="H53" t="n">
        <v>3028.74</v>
      </c>
      <c r="J53" s="4" t="n">
        <v>-42.38</v>
      </c>
      <c r="K53" t="n">
        <v>-1.4</v>
      </c>
      <c r="M53" t="inlineStr">
        <is>
          <t>TIGHT</t>
        </is>
      </c>
      <c r="Q53" t="n">
        <v>1</v>
      </c>
      <c r="R53" t="inlineStr">
        <is>
          <t>Media &amp; Entertainment</t>
        </is>
      </c>
      <c r="S53" t="inlineStr">
        <is>
          <t>SELL-STOP</t>
        </is>
      </c>
      <c r="W53" t="inlineStr">
        <is>
          <t>NORMAL</t>
        </is>
      </c>
    </row>
    <row r="54" ht="15" customHeight="1">
      <c r="A54" t="inlineStr">
        <is>
          <t>2026-06-23</t>
        </is>
      </c>
      <c r="B54" t="n">
        <v>5</v>
      </c>
      <c r="C54" t="inlineStr">
        <is>
          <t>ICICIBANK</t>
        </is>
      </c>
      <c r="D54" s="2" t="inlineStr">
        <is>
          <t>BUY-PENDING</t>
        </is>
      </c>
      <c r="E54" t="n">
        <v>1340.6</v>
      </c>
      <c r="F54" t="n">
        <v>1338.3</v>
      </c>
      <c r="G54" t="n">
        <v>3</v>
      </c>
      <c r="H54" t="n">
        <v>4021.8</v>
      </c>
      <c r="I54" t="n">
        <v>4244.1</v>
      </c>
      <c r="J54" s="4" t="n">
        <v>-6.6</v>
      </c>
      <c r="K54" t="n">
        <v>-0.16</v>
      </c>
      <c r="L54" t="n">
        <v>1300.38</v>
      </c>
      <c r="M54" t="inlineStr">
        <is>
          <t>TIGHT</t>
        </is>
      </c>
      <c r="N54" t="n">
        <v>6.95</v>
      </c>
      <c r="O54" t="n">
        <v>6.23</v>
      </c>
      <c r="P54" t="inlineStr">
        <is>
          <t>HOLD ⚖️</t>
        </is>
      </c>
      <c r="Q54" t="n">
        <v>15</v>
      </c>
      <c r="R54" t="inlineStr">
        <is>
          <t>Financial Services</t>
        </is>
      </c>
      <c r="S54" t="inlineStr">
        <is>
          <t>SELL-STOP</t>
        </is>
      </c>
      <c r="W54" t="inlineStr">
        <is>
          <t>NORMAL</t>
        </is>
      </c>
    </row>
    <row r="55" ht="15" customHeight="1">
      <c r="A55" t="inlineStr">
        <is>
          <t>2026-06-24</t>
        </is>
      </c>
      <c r="B55" t="n">
        <v>6</v>
      </c>
      <c r="C55" t="inlineStr">
        <is>
          <t>SBIN</t>
        </is>
      </c>
      <c r="D55" s="2" t="inlineStr">
        <is>
          <t>BUY-FILLED</t>
        </is>
      </c>
      <c r="E55" t="n">
        <v>1024</v>
      </c>
      <c r="G55" t="n">
        <v>4</v>
      </c>
      <c r="H55" t="n">
        <v>4096</v>
      </c>
      <c r="I55" t="n">
        <v>4152.4</v>
      </c>
      <c r="J55" s="3" t="n">
        <v>56.4</v>
      </c>
      <c r="K55" t="n">
        <v>1.38</v>
      </c>
      <c r="L55" t="n">
        <v>993.28</v>
      </c>
      <c r="M55" t="inlineStr">
        <is>
          <t>TIGHT</t>
        </is>
      </c>
      <c r="N55" t="n">
        <v>6.3</v>
      </c>
      <c r="O55" t="n">
        <v>6.83</v>
      </c>
      <c r="P55" t="inlineStr">
        <is>
          <t>ACCUMULATE 💚</t>
        </is>
      </c>
      <c r="Q55" t="n">
        <v>15</v>
      </c>
      <c r="R55" t="inlineStr">
        <is>
          <t>Financial Services</t>
        </is>
      </c>
      <c r="S55" t="inlineStr">
        <is>
          <t>BUY-FILLED</t>
        </is>
      </c>
      <c r="W55" t="inlineStr">
        <is>
          <t>NORMAL</t>
        </is>
      </c>
    </row>
    <row r="56" ht="15" customHeight="1">
      <c r="A56" t="inlineStr">
        <is>
          <t>2026-06-24</t>
        </is>
      </c>
      <c r="B56" t="n">
        <v>6</v>
      </c>
      <c r="C56" t="inlineStr">
        <is>
          <t>HFCL</t>
        </is>
      </c>
      <c r="D56" s="2" t="inlineStr">
        <is>
          <t>BUY-FILLED</t>
        </is>
      </c>
      <c r="E56" t="n">
        <v>202</v>
      </c>
      <c r="G56" t="n">
        <v>24</v>
      </c>
      <c r="H56" t="n">
        <v>4848</v>
      </c>
      <c r="I56" t="n">
        <v>5424.96</v>
      </c>
      <c r="J56" s="3" t="n">
        <v>576.96</v>
      </c>
      <c r="K56" t="n">
        <v>11.9</v>
      </c>
      <c r="L56" t="n">
        <v>195.94</v>
      </c>
      <c r="M56" t="inlineStr">
        <is>
          <t>TIGHT</t>
        </is>
      </c>
      <c r="N56" t="n">
        <v>5.8</v>
      </c>
      <c r="O56" t="n">
        <v>6.72</v>
      </c>
      <c r="P56" t="inlineStr">
        <is>
          <t>ACCUMULATE 💚</t>
        </is>
      </c>
      <c r="Q56" t="n">
        <v>15</v>
      </c>
      <c r="R56" t="inlineStr">
        <is>
          <t>Telecom</t>
        </is>
      </c>
      <c r="S56" t="inlineStr">
        <is>
          <t>BUY-FILLED</t>
        </is>
      </c>
      <c r="W56" t="inlineStr">
        <is>
          <t>NORMAL</t>
        </is>
      </c>
    </row>
    <row r="57" ht="15" customHeight="1">
      <c r="A57" t="inlineStr">
        <is>
          <t>2026-06-24</t>
        </is>
      </c>
      <c r="B57" t="n">
        <v>6</v>
      </c>
      <c r="C57" t="inlineStr">
        <is>
          <t>CARTRADE</t>
        </is>
      </c>
      <c r="D57" s="2" t="inlineStr">
        <is>
          <t>BUY-FILLED</t>
        </is>
      </c>
      <c r="E57" t="n">
        <v>2665</v>
      </c>
      <c r="F57" t="n">
        <v>2603.7</v>
      </c>
      <c r="G57" t="n">
        <v>1</v>
      </c>
      <c r="H57" t="n">
        <v>2665</v>
      </c>
      <c r="I57" t="n">
        <v>2783.4</v>
      </c>
      <c r="J57" s="4" t="n">
        <v>-51.3</v>
      </c>
      <c r="K57" t="n">
        <v>-1.93</v>
      </c>
      <c r="L57" t="n">
        <v>2585.05</v>
      </c>
      <c r="M57" t="inlineStr">
        <is>
          <t>TIGHT</t>
        </is>
      </c>
      <c r="N57" t="n">
        <v>5.85</v>
      </c>
      <c r="O57" t="n">
        <v>6.15</v>
      </c>
      <c r="P57" t="inlineStr">
        <is>
          <t>ACCUMULATE 💚</t>
        </is>
      </c>
      <c r="Q57" t="n">
        <v>9</v>
      </c>
      <c r="R57" t="inlineStr">
        <is>
          <t>New Age Tech</t>
        </is>
      </c>
      <c r="S57" t="inlineStr">
        <is>
          <t>SELL-STOP</t>
        </is>
      </c>
      <c r="W57" t="inlineStr">
        <is>
          <t>NORMAL</t>
        </is>
      </c>
    </row>
    <row r="58" ht="15" customHeight="1">
      <c r="A58" t="inlineStr">
        <is>
          <t>2026-06-24</t>
        </is>
      </c>
      <c r="B58" t="n">
        <v>6</v>
      </c>
      <c r="C58" t="inlineStr">
        <is>
          <t>ZEEL</t>
        </is>
      </c>
      <c r="D58" s="2" t="inlineStr">
        <is>
          <t>BUY-FILLED</t>
        </is>
      </c>
      <c r="M58" t="inlineStr">
        <is>
          <t>TIGHT</t>
        </is>
      </c>
      <c r="S58" t="inlineStr">
        <is>
          <t>BUY-FILLED</t>
        </is>
      </c>
      <c r="W58" t="inlineStr">
        <is>
          <t>NORMAL</t>
        </is>
      </c>
    </row>
    <row r="59" ht="15" customHeight="1">
      <c r="A59" t="inlineStr">
        <is>
          <t>2026-06-24</t>
        </is>
      </c>
      <c r="B59" t="n">
        <v>6</v>
      </c>
      <c r="C59" t="inlineStr">
        <is>
          <t>ICICIBANK</t>
        </is>
      </c>
      <c r="D59" s="2" t="inlineStr">
        <is>
          <t>BUY-FILLED</t>
        </is>
      </c>
      <c r="E59" t="n">
        <v>1340.6</v>
      </c>
      <c r="G59" t="n">
        <v>3</v>
      </c>
      <c r="H59" t="n">
        <v>4021.8</v>
      </c>
      <c r="I59" t="n">
        <v>4244.1</v>
      </c>
      <c r="J59" s="3" t="n">
        <v>222.3</v>
      </c>
      <c r="K59" t="n">
        <v>5.53</v>
      </c>
      <c r="L59" t="n">
        <v>1300.38</v>
      </c>
      <c r="M59" t="inlineStr">
        <is>
          <t>TIGHT</t>
        </is>
      </c>
      <c r="N59" t="n">
        <v>6.95</v>
      </c>
      <c r="O59" t="n">
        <v>6.23</v>
      </c>
      <c r="P59" t="inlineStr">
        <is>
          <t>HOLD ⚖️</t>
        </is>
      </c>
      <c r="Q59" t="n">
        <v>15</v>
      </c>
      <c r="R59" t="inlineStr">
        <is>
          <t>Financial Services</t>
        </is>
      </c>
      <c r="S59" t="inlineStr">
        <is>
          <t>BUY-FILLED</t>
        </is>
      </c>
      <c r="W59" t="inlineStr">
        <is>
          <t>NORMAL</t>
        </is>
      </c>
    </row>
    <row r="60" ht="15" customHeight="1">
      <c r="A60" t="inlineStr">
        <is>
          <t>2026-06-24</t>
        </is>
      </c>
      <c r="B60" t="n">
        <v>6</v>
      </c>
      <c r="C60" t="inlineStr">
        <is>
          <t>CARTRADE</t>
        </is>
      </c>
      <c r="D60" s="5" t="inlineStr">
        <is>
          <t>SELL-STOP</t>
        </is>
      </c>
      <c r="E60" t="n">
        <v>2665</v>
      </c>
      <c r="F60" t="n">
        <v>2603.7</v>
      </c>
      <c r="G60" t="n">
        <v>1</v>
      </c>
      <c r="H60" t="n">
        <v>2665</v>
      </c>
      <c r="I60" t="n">
        <v>2783.4</v>
      </c>
      <c r="J60" s="4" t="n">
        <v>-51.3</v>
      </c>
      <c r="K60" t="n">
        <v>-1.93</v>
      </c>
      <c r="L60" t="n">
        <v>2585.05</v>
      </c>
      <c r="M60" t="inlineStr">
        <is>
          <t>TIGHT</t>
        </is>
      </c>
      <c r="N60" t="n">
        <v>5.85</v>
      </c>
      <c r="O60" t="n">
        <v>6.15</v>
      </c>
      <c r="P60" t="inlineStr">
        <is>
          <t>ACCUMULATE 💚</t>
        </is>
      </c>
      <c r="Q60" t="n">
        <v>9</v>
      </c>
      <c r="R60" t="inlineStr">
        <is>
          <t>New Age Tech</t>
        </is>
      </c>
      <c r="S60" t="inlineStr">
        <is>
          <t>SELL-STOP</t>
        </is>
      </c>
      <c r="W60" t="inlineStr">
        <is>
          <t>NORMAL</t>
        </is>
      </c>
    </row>
    <row r="61" ht="15" customHeight="1">
      <c r="A61" t="inlineStr">
        <is>
          <t>2026-06-24</t>
        </is>
      </c>
      <c r="B61" t="n">
        <v>6</v>
      </c>
      <c r="C61" t="inlineStr">
        <is>
          <t>DRREDDY</t>
        </is>
      </c>
      <c r="D61" s="2" t="inlineStr">
        <is>
          <t>BUY-PENDING</t>
        </is>
      </c>
      <c r="E61" t="n">
        <v>1331.9</v>
      </c>
      <c r="G61" t="n">
        <v>2</v>
      </c>
      <c r="H61" t="n">
        <v>2663.8</v>
      </c>
      <c r="I61" t="n">
        <v>2709.2</v>
      </c>
      <c r="J61" s="3" t="n">
        <v>45.4</v>
      </c>
      <c r="K61" t="n">
        <v>1.7</v>
      </c>
      <c r="L61" t="n">
        <v>1291.94</v>
      </c>
      <c r="M61" t="inlineStr">
        <is>
          <t>TIGHT</t>
        </is>
      </c>
      <c r="N61" t="n">
        <v>8.039999999999999</v>
      </c>
      <c r="O61" t="n">
        <v>7.3</v>
      </c>
      <c r="P61" t="inlineStr">
        <is>
          <t>ACCUMULATE 💚</t>
        </is>
      </c>
      <c r="Q61" t="n">
        <v>14</v>
      </c>
      <c r="R61" t="inlineStr">
        <is>
          <t>Healthcare</t>
        </is>
      </c>
      <c r="S61" t="inlineStr">
        <is>
          <t>BUY-PENDING</t>
        </is>
      </c>
      <c r="W61" t="inlineStr">
        <is>
          <t>NORMAL</t>
        </is>
      </c>
    </row>
    <row r="62" ht="15" customHeight="1">
      <c r="A62" t="inlineStr">
        <is>
          <t>2026-06-24</t>
        </is>
      </c>
      <c r="B62" t="n">
        <v>6</v>
      </c>
      <c r="C62" t="inlineStr">
        <is>
          <t>KOTAKBANK</t>
        </is>
      </c>
      <c r="D62" s="2" t="inlineStr">
        <is>
          <t>BUY-PENDING</t>
        </is>
      </c>
      <c r="M62" t="inlineStr">
        <is>
          <t>TIGHT</t>
        </is>
      </c>
      <c r="S62" t="inlineStr">
        <is>
          <t>BUY-PENDING</t>
        </is>
      </c>
      <c r="W62" t="inlineStr">
        <is>
          <t>NORMAL</t>
        </is>
      </c>
    </row>
    <row r="63" ht="15" customHeight="1">
      <c r="A63" t="inlineStr">
        <is>
          <t>2026-06-24</t>
        </is>
      </c>
      <c r="B63" t="n">
        <v>6</v>
      </c>
      <c r="C63" t="inlineStr">
        <is>
          <t>LUPIN</t>
        </is>
      </c>
      <c r="D63" s="2" t="inlineStr">
        <is>
          <t>BUY-PENDING</t>
        </is>
      </c>
      <c r="E63" t="n">
        <v>2420</v>
      </c>
      <c r="G63" t="n">
        <v>2</v>
      </c>
      <c r="H63" t="n">
        <v>4840</v>
      </c>
      <c r="I63" t="n">
        <v>4980.4</v>
      </c>
      <c r="J63" s="3" t="n">
        <v>140.4</v>
      </c>
      <c r="K63" t="n">
        <v>2.9</v>
      </c>
      <c r="L63" t="n">
        <v>2347.4</v>
      </c>
      <c r="M63" t="inlineStr">
        <is>
          <t>TIGHT</t>
        </is>
      </c>
      <c r="N63" t="n">
        <v>6.65</v>
      </c>
      <c r="O63" t="n">
        <v>6.48</v>
      </c>
      <c r="P63" t="inlineStr">
        <is>
          <t>ACCUMULATE 💚</t>
        </is>
      </c>
      <c r="Q63" t="n">
        <v>5</v>
      </c>
      <c r="R63" t="inlineStr">
        <is>
          <t>Healthcare</t>
        </is>
      </c>
      <c r="S63" t="inlineStr">
        <is>
          <t>BUY-PENDING</t>
        </is>
      </c>
      <c r="W63" t="inlineStr">
        <is>
          <t>NORMAL</t>
        </is>
      </c>
    </row>
    <row r="64" ht="15" customHeight="1">
      <c r="A64" t="inlineStr">
        <is>
          <t>2026-06-24</t>
        </is>
      </c>
      <c r="B64" t="n">
        <v>6</v>
      </c>
      <c r="C64" t="inlineStr">
        <is>
          <t>BHARTIARTL</t>
        </is>
      </c>
      <c r="D64" s="2" t="inlineStr">
        <is>
          <t>BUY-PENDING</t>
        </is>
      </c>
      <c r="E64" t="n">
        <v>1890</v>
      </c>
      <c r="G64" t="n">
        <v>2</v>
      </c>
      <c r="H64" t="n">
        <v>3780</v>
      </c>
      <c r="I64" t="n">
        <v>3851.6</v>
      </c>
      <c r="J64" s="3" t="n">
        <v>71.59999999999999</v>
      </c>
      <c r="K64" t="n">
        <v>1.89</v>
      </c>
      <c r="L64" t="n">
        <v>1833.3</v>
      </c>
      <c r="M64" t="inlineStr">
        <is>
          <t>TIGHT</t>
        </is>
      </c>
      <c r="N64" t="n">
        <v>6.3</v>
      </c>
      <c r="O64" t="n">
        <v>6.25</v>
      </c>
      <c r="P64" t="inlineStr">
        <is>
          <t>ACCUMULATE 💚</t>
        </is>
      </c>
      <c r="Q64" t="n">
        <v>5</v>
      </c>
      <c r="R64" t="inlineStr">
        <is>
          <t>Telecom</t>
        </is>
      </c>
      <c r="S64" t="inlineStr">
        <is>
          <t>BUY-PENDING</t>
        </is>
      </c>
      <c r="W64" t="inlineStr">
        <is>
          <t>NORMAL</t>
        </is>
      </c>
    </row>
    <row r="65" ht="15" customHeight="1">
      <c r="A65" t="inlineStr">
        <is>
          <t>2026-06-24</t>
        </is>
      </c>
      <c r="B65" t="n">
        <v>6</v>
      </c>
      <c r="C65" t="inlineStr">
        <is>
          <t>IOC</t>
        </is>
      </c>
      <c r="D65" s="2" t="inlineStr">
        <is>
          <t>BUY-PENDING</t>
        </is>
      </c>
      <c r="M65" t="inlineStr">
        <is>
          <t>TIGHT</t>
        </is>
      </c>
      <c r="S65" t="inlineStr">
        <is>
          <t>BUY-PENDING</t>
        </is>
      </c>
      <c r="W65" t="inlineStr">
        <is>
          <t>NORMAL</t>
        </is>
      </c>
    </row>
    <row r="66" ht="15" customHeight="1">
      <c r="A66" t="inlineStr">
        <is>
          <t>2026-06-25</t>
        </is>
      </c>
      <c r="B66" t="n">
        <v>7</v>
      </c>
      <c r="C66" t="inlineStr">
        <is>
          <t>DRREDDY</t>
        </is>
      </c>
      <c r="D66" s="2" t="inlineStr">
        <is>
          <t>BUY-FILLED</t>
        </is>
      </c>
      <c r="E66" t="n">
        <v>1331.9</v>
      </c>
      <c r="G66" t="n">
        <v>2</v>
      </c>
      <c r="H66" t="n">
        <v>2663.8</v>
      </c>
      <c r="I66" t="n">
        <v>2709.2</v>
      </c>
      <c r="J66" s="3" t="n">
        <v>45.4</v>
      </c>
      <c r="K66" t="n">
        <v>1.7</v>
      </c>
      <c r="L66" t="n">
        <v>1291.94</v>
      </c>
      <c r="M66" t="inlineStr">
        <is>
          <t>TIGHT</t>
        </is>
      </c>
      <c r="N66" t="n">
        <v>8.039999999999999</v>
      </c>
      <c r="O66" t="n">
        <v>7.3</v>
      </c>
      <c r="P66" t="inlineStr">
        <is>
          <t>ACCUMULATE 💚</t>
        </is>
      </c>
      <c r="Q66" t="n">
        <v>14</v>
      </c>
      <c r="R66" t="inlineStr">
        <is>
          <t>Healthcare</t>
        </is>
      </c>
      <c r="S66" t="inlineStr">
        <is>
          <t>BUY-FILLED</t>
        </is>
      </c>
      <c r="W66" t="inlineStr">
        <is>
          <t>NORMAL</t>
        </is>
      </c>
    </row>
    <row r="67" ht="15" customHeight="1">
      <c r="A67" t="inlineStr">
        <is>
          <t>2026-06-25</t>
        </is>
      </c>
      <c r="B67" t="n">
        <v>7</v>
      </c>
      <c r="C67" t="inlineStr">
        <is>
          <t>KOTAKBANK</t>
        </is>
      </c>
      <c r="D67" s="2" t="inlineStr">
        <is>
          <t>BUY-FILLED</t>
        </is>
      </c>
      <c r="E67" t="n">
        <v>409.5</v>
      </c>
      <c r="F67" t="n">
        <v>409</v>
      </c>
      <c r="G67" t="n">
        <v>8</v>
      </c>
      <c r="H67" t="n">
        <v>3276</v>
      </c>
      <c r="J67" s="4" t="n">
        <v>-4</v>
      </c>
      <c r="K67" t="n">
        <v>-0.12</v>
      </c>
      <c r="M67" t="inlineStr">
        <is>
          <t>TIGHT</t>
        </is>
      </c>
      <c r="Q67" t="n">
        <v>1</v>
      </c>
      <c r="R67" t="inlineStr">
        <is>
          <t>Financial Services</t>
        </is>
      </c>
      <c r="S67" t="inlineStr">
        <is>
          <t>SELL-STOP</t>
        </is>
      </c>
      <c r="W67" t="inlineStr">
        <is>
          <t>NORMAL</t>
        </is>
      </c>
    </row>
    <row r="68" ht="15" customHeight="1">
      <c r="A68" t="inlineStr">
        <is>
          <t>2026-06-25</t>
        </is>
      </c>
      <c r="B68" t="n">
        <v>7</v>
      </c>
      <c r="C68" t="inlineStr">
        <is>
          <t>LUPIN</t>
        </is>
      </c>
      <c r="D68" s="2" t="inlineStr">
        <is>
          <t>BUY-FILLED</t>
        </is>
      </c>
      <c r="E68" t="n">
        <v>2420</v>
      </c>
      <c r="F68" t="n">
        <v>2343.5</v>
      </c>
      <c r="G68" t="n">
        <v>2</v>
      </c>
      <c r="H68" t="n">
        <v>4840</v>
      </c>
      <c r="I68" t="n">
        <v>4980.4</v>
      </c>
      <c r="J68" s="4" t="n">
        <v>-31.4</v>
      </c>
      <c r="K68" t="n">
        <v>-1.32</v>
      </c>
      <c r="L68" t="n">
        <v>2347.4</v>
      </c>
      <c r="M68" t="inlineStr">
        <is>
          <t>TIGHT</t>
        </is>
      </c>
      <c r="N68" t="n">
        <v>6.65</v>
      </c>
      <c r="O68" t="n">
        <v>6.48</v>
      </c>
      <c r="P68" t="inlineStr">
        <is>
          <t>ACCUMULATE 💚</t>
        </is>
      </c>
      <c r="Q68" t="n">
        <v>5</v>
      </c>
      <c r="R68" t="inlineStr">
        <is>
          <t>Healthcare</t>
        </is>
      </c>
      <c r="S68" t="inlineStr">
        <is>
          <t>SELL-STOP</t>
        </is>
      </c>
      <c r="W68" t="inlineStr">
        <is>
          <t>NORMAL</t>
        </is>
      </c>
    </row>
    <row r="69" ht="15" customHeight="1">
      <c r="A69" t="inlineStr">
        <is>
          <t>2026-06-25</t>
        </is>
      </c>
      <c r="B69" t="n">
        <v>7</v>
      </c>
      <c r="C69" t="inlineStr">
        <is>
          <t>BHARTIARTL</t>
        </is>
      </c>
      <c r="D69" s="2" t="inlineStr">
        <is>
          <t>BUY-FILLED</t>
        </is>
      </c>
      <c r="E69" t="n">
        <v>1890</v>
      </c>
      <c r="F69" t="n">
        <v>1850.7</v>
      </c>
      <c r="G69" t="n">
        <v>2</v>
      </c>
      <c r="H69" t="n">
        <v>3780</v>
      </c>
      <c r="I69" t="n">
        <v>3851.6</v>
      </c>
      <c r="J69" s="4" t="n">
        <v>-34.3</v>
      </c>
      <c r="K69" t="n">
        <v>-1.82</v>
      </c>
      <c r="L69" t="n">
        <v>1833.3</v>
      </c>
      <c r="M69" t="inlineStr">
        <is>
          <t>TIGHT</t>
        </is>
      </c>
      <c r="N69" t="n">
        <v>6.3</v>
      </c>
      <c r="O69" t="n">
        <v>6.25</v>
      </c>
      <c r="P69" t="inlineStr">
        <is>
          <t>ACCUMULATE 💚</t>
        </is>
      </c>
      <c r="Q69" t="n">
        <v>5</v>
      </c>
      <c r="R69" t="inlineStr">
        <is>
          <t>Telecom</t>
        </is>
      </c>
      <c r="S69" t="inlineStr">
        <is>
          <t>SELL-STOP</t>
        </is>
      </c>
      <c r="W69" t="inlineStr">
        <is>
          <t>NORMAL</t>
        </is>
      </c>
    </row>
    <row r="70" ht="15" customHeight="1">
      <c r="A70" t="inlineStr">
        <is>
          <t>2026-06-25</t>
        </is>
      </c>
      <c r="B70" t="n">
        <v>7</v>
      </c>
      <c r="C70" t="inlineStr">
        <is>
          <t>IOC</t>
        </is>
      </c>
      <c r="D70" s="2" t="inlineStr">
        <is>
          <t>BUY-FILLED</t>
        </is>
      </c>
      <c r="E70" t="n">
        <v>148</v>
      </c>
      <c r="F70" t="n">
        <v>143.89</v>
      </c>
      <c r="G70" t="n">
        <v>22</v>
      </c>
      <c r="H70" t="n">
        <v>3256</v>
      </c>
      <c r="J70" s="4" t="n">
        <v>-90.42</v>
      </c>
      <c r="K70" t="n">
        <v>-2.78</v>
      </c>
      <c r="M70" t="inlineStr">
        <is>
          <t>TIGHT</t>
        </is>
      </c>
      <c r="Q70" t="n">
        <v>1</v>
      </c>
      <c r="R70" t="inlineStr">
        <is>
          <t>Energy</t>
        </is>
      </c>
      <c r="S70" t="inlineStr">
        <is>
          <t>SELL-STOP</t>
        </is>
      </c>
      <c r="W70" t="inlineStr">
        <is>
          <t>NORMAL</t>
        </is>
      </c>
    </row>
    <row r="71" ht="15" customHeight="1">
      <c r="A71" t="inlineStr">
        <is>
          <t>2026-06-25</t>
        </is>
      </c>
      <c r="B71" t="n">
        <v>7</v>
      </c>
      <c r="C71" t="inlineStr">
        <is>
          <t>NYKAA</t>
        </is>
      </c>
      <c r="D71" s="5" t="inlineStr">
        <is>
          <t>SELL-STOP</t>
        </is>
      </c>
      <c r="E71" t="n">
        <v>301.3</v>
      </c>
      <c r="F71" t="n">
        <v>301.35</v>
      </c>
      <c r="G71" t="n">
        <v>13</v>
      </c>
      <c r="H71" t="n">
        <v>3916.9</v>
      </c>
      <c r="I71" t="n">
        <v>4097.6</v>
      </c>
      <c r="J71" s="4" t="n">
        <v>-7.8</v>
      </c>
      <c r="K71" t="n">
        <v>-0.22</v>
      </c>
      <c r="L71" t="n">
        <v>292.26</v>
      </c>
      <c r="M71" t="inlineStr">
        <is>
          <t>TIGHT</t>
        </is>
      </c>
      <c r="N71" t="n">
        <v>5</v>
      </c>
      <c r="O71" t="n">
        <v>6.22</v>
      </c>
      <c r="P71" t="inlineStr">
        <is>
          <t>ACCUMULATE 💚</t>
        </is>
      </c>
      <c r="Q71" t="n">
        <v>10</v>
      </c>
      <c r="R71" t="inlineStr">
        <is>
          <t>New Age Tech</t>
        </is>
      </c>
      <c r="S71" t="inlineStr">
        <is>
          <t>SELL-STOP</t>
        </is>
      </c>
      <c r="W71" t="inlineStr">
        <is>
          <t>NORMAL</t>
        </is>
      </c>
    </row>
    <row r="72" ht="15" customHeight="1">
      <c r="A72" t="inlineStr">
        <is>
          <t>2026-06-25</t>
        </is>
      </c>
      <c r="B72" t="n">
        <v>7</v>
      </c>
      <c r="C72" t="inlineStr">
        <is>
          <t>ZEEL</t>
        </is>
      </c>
      <c r="D72" s="5" t="inlineStr">
        <is>
          <t>SELL-STOP</t>
        </is>
      </c>
      <c r="E72" t="n">
        <v>115.1</v>
      </c>
      <c r="F72" t="n">
        <v>111.36</v>
      </c>
      <c r="G72" t="n">
        <v>40</v>
      </c>
      <c r="H72" t="n">
        <v>4604</v>
      </c>
      <c r="J72" s="4" t="n">
        <v>-149.6</v>
      </c>
      <c r="K72" t="n">
        <v>-3.25</v>
      </c>
      <c r="M72" t="inlineStr">
        <is>
          <t>TIGHT</t>
        </is>
      </c>
      <c r="Q72" t="n">
        <v>2</v>
      </c>
      <c r="R72" t="inlineStr">
        <is>
          <t>Media &amp; Entertainment</t>
        </is>
      </c>
      <c r="S72" t="inlineStr">
        <is>
          <t>SELL-STOP</t>
        </is>
      </c>
      <c r="W72" t="inlineStr">
        <is>
          <t>NORMAL</t>
        </is>
      </c>
    </row>
    <row r="73" ht="15" customHeight="1">
      <c r="A73" t="inlineStr">
        <is>
          <t>2026-06-25</t>
        </is>
      </c>
      <c r="B73" t="n">
        <v>7</v>
      </c>
      <c r="C73" t="inlineStr">
        <is>
          <t>KOTAKBANK</t>
        </is>
      </c>
      <c r="D73" s="5" t="inlineStr">
        <is>
          <t>SELL-STOP</t>
        </is>
      </c>
      <c r="E73" t="n">
        <v>409.5</v>
      </c>
      <c r="F73" t="n">
        <v>409</v>
      </c>
      <c r="G73" t="n">
        <v>8</v>
      </c>
      <c r="H73" t="n">
        <v>3276</v>
      </c>
      <c r="J73" s="4" t="n">
        <v>-4</v>
      </c>
      <c r="K73" t="n">
        <v>-0.12</v>
      </c>
      <c r="M73" t="inlineStr">
        <is>
          <t>TIGHT</t>
        </is>
      </c>
      <c r="Q73" t="n">
        <v>1</v>
      </c>
      <c r="R73" t="inlineStr">
        <is>
          <t>Financial Services</t>
        </is>
      </c>
      <c r="S73" t="inlineStr">
        <is>
          <t>SELL-STOP</t>
        </is>
      </c>
      <c r="W73" t="inlineStr">
        <is>
          <t>NORMAL</t>
        </is>
      </c>
    </row>
    <row r="74" ht="15" customHeight="1">
      <c r="A74" t="inlineStr">
        <is>
          <t>2026-06-25</t>
        </is>
      </c>
      <c r="B74" t="n">
        <v>7</v>
      </c>
      <c r="C74" t="inlineStr">
        <is>
          <t>LUPIN</t>
        </is>
      </c>
      <c r="D74" s="5" t="inlineStr">
        <is>
          <t>SELL-STOP</t>
        </is>
      </c>
      <c r="E74" t="n">
        <v>2420</v>
      </c>
      <c r="F74" t="n">
        <v>2343.5</v>
      </c>
      <c r="G74" t="n">
        <v>2</v>
      </c>
      <c r="H74" t="n">
        <v>4840</v>
      </c>
      <c r="I74" t="n">
        <v>4980.4</v>
      </c>
      <c r="J74" s="4" t="n">
        <v>-31.4</v>
      </c>
      <c r="K74" t="n">
        <v>-1.32</v>
      </c>
      <c r="L74" t="n">
        <v>2347.4</v>
      </c>
      <c r="M74" t="inlineStr">
        <is>
          <t>TIGHT</t>
        </is>
      </c>
      <c r="N74" t="n">
        <v>6.65</v>
      </c>
      <c r="O74" t="n">
        <v>6.48</v>
      </c>
      <c r="P74" t="inlineStr">
        <is>
          <t>ACCUMULATE 💚</t>
        </is>
      </c>
      <c r="Q74" t="n">
        <v>5</v>
      </c>
      <c r="R74" t="inlineStr">
        <is>
          <t>Healthcare</t>
        </is>
      </c>
      <c r="S74" t="inlineStr">
        <is>
          <t>SELL-STOP</t>
        </is>
      </c>
      <c r="W74" t="inlineStr">
        <is>
          <t>NORMAL</t>
        </is>
      </c>
    </row>
    <row r="75" ht="15" customHeight="1">
      <c r="A75" t="inlineStr">
        <is>
          <t>2026-06-25</t>
        </is>
      </c>
      <c r="B75" t="n">
        <v>7</v>
      </c>
      <c r="C75" t="inlineStr">
        <is>
          <t>BHARTIARTL</t>
        </is>
      </c>
      <c r="D75" s="5" t="inlineStr">
        <is>
          <t>SELL-STOP</t>
        </is>
      </c>
      <c r="E75" t="n">
        <v>1890</v>
      </c>
      <c r="F75" t="n">
        <v>1850.7</v>
      </c>
      <c r="G75" t="n">
        <v>2</v>
      </c>
      <c r="H75" t="n">
        <v>3780</v>
      </c>
      <c r="I75" t="n">
        <v>3851.6</v>
      </c>
      <c r="J75" s="4" t="n">
        <v>-34.3</v>
      </c>
      <c r="K75" t="n">
        <v>-1.82</v>
      </c>
      <c r="L75" t="n">
        <v>1833.3</v>
      </c>
      <c r="M75" t="inlineStr">
        <is>
          <t>TIGHT</t>
        </is>
      </c>
      <c r="N75" t="n">
        <v>6.3</v>
      </c>
      <c r="O75" t="n">
        <v>6.25</v>
      </c>
      <c r="P75" t="inlineStr">
        <is>
          <t>ACCUMULATE 💚</t>
        </is>
      </c>
      <c r="Q75" t="n">
        <v>5</v>
      </c>
      <c r="R75" t="inlineStr">
        <is>
          <t>Telecom</t>
        </is>
      </c>
      <c r="S75" t="inlineStr">
        <is>
          <t>SELL-STOP</t>
        </is>
      </c>
      <c r="W75" t="inlineStr">
        <is>
          <t>NORMAL</t>
        </is>
      </c>
    </row>
    <row r="76" ht="15" customHeight="1">
      <c r="A76" t="inlineStr">
        <is>
          <t>2026-06-25</t>
        </is>
      </c>
      <c r="B76" t="n">
        <v>7</v>
      </c>
      <c r="C76" t="inlineStr">
        <is>
          <t>IOC</t>
        </is>
      </c>
      <c r="D76" s="5" t="inlineStr">
        <is>
          <t>SELL-STOP</t>
        </is>
      </c>
      <c r="E76" t="n">
        <v>148</v>
      </c>
      <c r="F76" t="n">
        <v>143.89</v>
      </c>
      <c r="G76" t="n">
        <v>22</v>
      </c>
      <c r="H76" t="n">
        <v>3256</v>
      </c>
      <c r="J76" s="4" t="n">
        <v>-90.42</v>
      </c>
      <c r="K76" t="n">
        <v>-2.78</v>
      </c>
      <c r="M76" t="inlineStr">
        <is>
          <t>TIGHT</t>
        </is>
      </c>
      <c r="Q76" t="n">
        <v>1</v>
      </c>
      <c r="R76" t="inlineStr">
        <is>
          <t>Energy</t>
        </is>
      </c>
      <c r="S76" t="inlineStr">
        <is>
          <t>SELL-STOP</t>
        </is>
      </c>
      <c r="W76" t="inlineStr">
        <is>
          <t>NORMAL</t>
        </is>
      </c>
    </row>
    <row r="77" ht="15" customHeight="1">
      <c r="A77" t="inlineStr">
        <is>
          <t>2026-06-25</t>
        </is>
      </c>
      <c r="B77" t="n">
        <v>7</v>
      </c>
      <c r="C77" t="inlineStr">
        <is>
          <t>CARTRADE</t>
        </is>
      </c>
      <c r="D77" s="2" t="inlineStr">
        <is>
          <t>BUY-PENDING</t>
        </is>
      </c>
      <c r="E77" t="n">
        <v>2665</v>
      </c>
      <c r="G77" t="n">
        <v>1</v>
      </c>
      <c r="H77" t="n">
        <v>2665</v>
      </c>
      <c r="I77" t="n">
        <v>2783.4</v>
      </c>
      <c r="J77" s="3" t="n">
        <v>118.4</v>
      </c>
      <c r="K77" t="n">
        <v>4.44</v>
      </c>
      <c r="L77" t="n">
        <v>2585.05</v>
      </c>
      <c r="M77" t="inlineStr">
        <is>
          <t>TIGHT</t>
        </is>
      </c>
      <c r="N77" t="n">
        <v>5.85</v>
      </c>
      <c r="O77" t="n">
        <v>6.15</v>
      </c>
      <c r="P77" t="inlineStr">
        <is>
          <t>ACCUMULATE 💚</t>
        </is>
      </c>
      <c r="Q77" t="n">
        <v>9</v>
      </c>
      <c r="R77" t="inlineStr">
        <is>
          <t>New Age Tech</t>
        </is>
      </c>
      <c r="S77" t="inlineStr">
        <is>
          <t>BUY-PENDING</t>
        </is>
      </c>
      <c r="W77" t="inlineStr">
        <is>
          <t>NORMAL</t>
        </is>
      </c>
    </row>
    <row r="78" ht="15" customHeight="1">
      <c r="A78" t="inlineStr">
        <is>
          <t>2026-06-25</t>
        </is>
      </c>
      <c r="B78" t="n">
        <v>7</v>
      </c>
      <c r="C78" t="inlineStr">
        <is>
          <t>MARUTI</t>
        </is>
      </c>
      <c r="D78" s="2" t="inlineStr">
        <is>
          <t>BUY-PENDING</t>
        </is>
      </c>
      <c r="M78" t="inlineStr">
        <is>
          <t>TIGHT</t>
        </is>
      </c>
      <c r="S78" t="inlineStr">
        <is>
          <t>BUY-PENDING</t>
        </is>
      </c>
      <c r="W78" t="inlineStr">
        <is>
          <t>NORMAL</t>
        </is>
      </c>
    </row>
    <row r="79" ht="15" customHeight="1">
      <c r="A79" t="inlineStr">
        <is>
          <t>2026-06-25</t>
        </is>
      </c>
      <c r="B79" t="n">
        <v>7</v>
      </c>
      <c r="C79" t="inlineStr">
        <is>
          <t>NYKAA</t>
        </is>
      </c>
      <c r="D79" s="2" t="inlineStr">
        <is>
          <t>BUY-PENDING</t>
        </is>
      </c>
      <c r="E79" t="n">
        <v>301.3</v>
      </c>
      <c r="F79" t="n">
        <v>301.35</v>
      </c>
      <c r="G79" t="n">
        <v>13</v>
      </c>
      <c r="H79" t="n">
        <v>3916.9</v>
      </c>
      <c r="I79" t="n">
        <v>4097.6</v>
      </c>
      <c r="J79" s="4" t="n">
        <v>-7.8</v>
      </c>
      <c r="K79" t="n">
        <v>-0.22</v>
      </c>
      <c r="L79" t="n">
        <v>292.26</v>
      </c>
      <c r="M79" t="inlineStr">
        <is>
          <t>TIGHT</t>
        </is>
      </c>
      <c r="N79" t="n">
        <v>5</v>
      </c>
      <c r="O79" t="n">
        <v>6.22</v>
      </c>
      <c r="P79" t="inlineStr">
        <is>
          <t>ACCUMULATE 💚</t>
        </is>
      </c>
      <c r="Q79" t="n">
        <v>10</v>
      </c>
      <c r="R79" t="inlineStr">
        <is>
          <t>New Age Tech</t>
        </is>
      </c>
      <c r="S79" t="inlineStr">
        <is>
          <t>SELL-STOP</t>
        </is>
      </c>
      <c r="W79" t="inlineStr">
        <is>
          <t>NORMAL</t>
        </is>
      </c>
    </row>
    <row r="80" ht="15" customHeight="1">
      <c r="A80" t="inlineStr">
        <is>
          <t>2026-06-25</t>
        </is>
      </c>
      <c r="B80" t="n">
        <v>7</v>
      </c>
      <c r="C80" t="inlineStr">
        <is>
          <t>HDFCBANK</t>
        </is>
      </c>
      <c r="D80" s="2" t="inlineStr">
        <is>
          <t>BUY-PENDING</t>
        </is>
      </c>
      <c r="E80" t="n">
        <v>793.5</v>
      </c>
      <c r="G80" t="n">
        <v>5</v>
      </c>
      <c r="H80" t="n">
        <v>3967.5</v>
      </c>
      <c r="I80" t="n">
        <v>4146.5</v>
      </c>
      <c r="J80" s="3" t="n">
        <v>179</v>
      </c>
      <c r="K80" t="n">
        <v>4.51</v>
      </c>
      <c r="L80" t="n">
        <v>769.6900000000001</v>
      </c>
      <c r="M80" t="inlineStr">
        <is>
          <t>TIGHT</t>
        </is>
      </c>
      <c r="N80" t="n">
        <v>6.95</v>
      </c>
      <c r="O80" t="n">
        <v>7.3</v>
      </c>
      <c r="P80" t="inlineStr">
        <is>
          <t>ACCUMULATE 💚</t>
        </is>
      </c>
      <c r="Q80" t="n">
        <v>8</v>
      </c>
      <c r="R80" t="inlineStr">
        <is>
          <t>Financial Services</t>
        </is>
      </c>
      <c r="S80" t="inlineStr">
        <is>
          <t>BUY-PENDING</t>
        </is>
      </c>
      <c r="W80" t="inlineStr">
        <is>
          <t>NORMAL</t>
        </is>
      </c>
    </row>
    <row r="81" ht="15" customHeight="1">
      <c r="A81" t="inlineStr">
        <is>
          <t>2026-06-25</t>
        </is>
      </c>
      <c r="B81" t="n">
        <v>7</v>
      </c>
      <c r="C81" t="inlineStr">
        <is>
          <t>ZEEL</t>
        </is>
      </c>
      <c r="D81" s="2" t="inlineStr">
        <is>
          <t>BUY-PENDING</t>
        </is>
      </c>
      <c r="E81" t="n">
        <v>115.1</v>
      </c>
      <c r="F81" t="n">
        <v>111.36</v>
      </c>
      <c r="G81" t="n">
        <v>40</v>
      </c>
      <c r="H81" t="n">
        <v>4604</v>
      </c>
      <c r="J81" s="4" t="n">
        <v>-149.6</v>
      </c>
      <c r="K81" t="n">
        <v>-3.25</v>
      </c>
      <c r="M81" t="inlineStr">
        <is>
          <t>TIGHT</t>
        </is>
      </c>
      <c r="Q81" t="n">
        <v>2</v>
      </c>
      <c r="R81" t="inlineStr">
        <is>
          <t>Media &amp; Entertainment</t>
        </is>
      </c>
      <c r="S81" t="inlineStr">
        <is>
          <t>SELL-STOP</t>
        </is>
      </c>
      <c r="W81" t="inlineStr">
        <is>
          <t>NORMAL</t>
        </is>
      </c>
    </row>
    <row r="82" ht="15" customHeight="1">
      <c r="A82" t="inlineStr">
        <is>
          <t>2026-07-07</t>
        </is>
      </c>
      <c r="B82" t="n">
        <v>14</v>
      </c>
      <c r="C82" t="inlineStr">
        <is>
          <t>IDEA</t>
        </is>
      </c>
      <c r="D82" s="5" t="inlineStr">
        <is>
          <t>SELL-STOP</t>
        </is>
      </c>
      <c r="E82" t="n">
        <v>14.46</v>
      </c>
      <c r="F82" t="n">
        <v>13.85</v>
      </c>
      <c r="G82" t="n">
        <v>257</v>
      </c>
      <c r="H82" t="n">
        <v>3716.22</v>
      </c>
      <c r="J82" s="4" t="n">
        <v>-156.77</v>
      </c>
      <c r="K82" t="n">
        <v>-4.22</v>
      </c>
      <c r="M82" t="inlineStr">
        <is>
          <t>TIGHT</t>
        </is>
      </c>
      <c r="Q82" t="n">
        <v>8</v>
      </c>
      <c r="R82" t="inlineStr">
        <is>
          <t>Telecom</t>
        </is>
      </c>
      <c r="S82" t="inlineStr">
        <is>
          <t>SELL-STOP</t>
        </is>
      </c>
      <c r="W82" t="inlineStr">
        <is>
          <t>NORMAL</t>
        </is>
      </c>
    </row>
    <row r="83" ht="15" customHeight="1">
      <c r="A83" t="inlineStr">
        <is>
          <t>2026-07-07</t>
        </is>
      </c>
      <c r="B83" t="n">
        <v>14</v>
      </c>
      <c r="C83" t="inlineStr">
        <is>
          <t>DABUR</t>
        </is>
      </c>
      <c r="D83" s="2" t="inlineStr">
        <is>
          <t>BUY-PENDING</t>
        </is>
      </c>
      <c r="M83" t="inlineStr">
        <is>
          <t>TIGHT</t>
        </is>
      </c>
      <c r="S83" t="inlineStr">
        <is>
          <t>BUY-PENDING</t>
        </is>
      </c>
      <c r="W83" t="inlineStr">
        <is>
          <t>NORMAL</t>
        </is>
      </c>
    </row>
    <row r="84" ht="15" customHeight="1">
      <c r="A84" t="inlineStr">
        <is>
          <t>2026-07-07</t>
        </is>
      </c>
      <c r="B84" t="n">
        <v>14</v>
      </c>
      <c r="C84" t="inlineStr">
        <is>
          <t>HEROMOTOCO</t>
        </is>
      </c>
      <c r="D84" s="2" t="inlineStr">
        <is>
          <t>BUY-PENDING</t>
        </is>
      </c>
      <c r="M84" t="inlineStr">
        <is>
          <t>TIGHT</t>
        </is>
      </c>
      <c r="S84" t="inlineStr">
        <is>
          <t>BUY-PENDING</t>
        </is>
      </c>
      <c r="W84" t="inlineStr">
        <is>
          <t>NORMAL</t>
        </is>
      </c>
    </row>
    <row r="85" ht="15" customHeight="1">
      <c r="A85" t="inlineStr">
        <is>
          <t>2026-07-07</t>
        </is>
      </c>
      <c r="B85" t="n">
        <v>14</v>
      </c>
      <c r="C85" t="inlineStr">
        <is>
          <t>DIVISLAB</t>
        </is>
      </c>
      <c r="D85" s="2" t="inlineStr">
        <is>
          <t>BUY-PENDING</t>
        </is>
      </c>
      <c r="M85" t="inlineStr">
        <is>
          <t>TIGHT</t>
        </is>
      </c>
      <c r="S85" t="inlineStr">
        <is>
          <t>BUY-PENDING</t>
        </is>
      </c>
      <c r="W85" t="inlineStr">
        <is>
          <t>NORMAL</t>
        </is>
      </c>
    </row>
    <row r="86" ht="15" customHeight="1">
      <c r="A86" t="inlineStr">
        <is>
          <t>2026-07-07</t>
        </is>
      </c>
      <c r="B86" t="n">
        <v>14</v>
      </c>
      <c r="C86" t="inlineStr">
        <is>
          <t>BPCL</t>
        </is>
      </c>
      <c r="D86" s="2" t="inlineStr">
        <is>
          <t>BUY-PENDING</t>
        </is>
      </c>
      <c r="M86" t="inlineStr">
        <is>
          <t>TIGHT</t>
        </is>
      </c>
      <c r="S86" t="inlineStr">
        <is>
          <t>BUY-PENDING</t>
        </is>
      </c>
      <c r="W86" t="inlineStr">
        <is>
          <t>NORMAL</t>
        </is>
      </c>
    </row>
    <row r="87" ht="15" customHeight="1">
      <c r="A87" t="inlineStr">
        <is>
          <t>2026-07-07</t>
        </is>
      </c>
      <c r="B87" t="n">
        <v>14</v>
      </c>
      <c r="C87" t="inlineStr">
        <is>
          <t>MARUTI</t>
        </is>
      </c>
      <c r="D87" s="2" t="inlineStr">
        <is>
          <t>BUY-PENDING</t>
        </is>
      </c>
      <c r="M87" t="inlineStr">
        <is>
          <t>TIGHT</t>
        </is>
      </c>
      <c r="S87" t="inlineStr">
        <is>
          <t>BUY-PENDING</t>
        </is>
      </c>
      <c r="W87" t="inlineStr">
        <is>
          <t>NORMAL</t>
        </is>
      </c>
    </row>
    <row r="88">
      <c r="A88" s="31" t="inlineStr">
        <is>
          <t>2026-07-08</t>
        </is>
      </c>
      <c r="B88" s="71" t="n">
        <v>15</v>
      </c>
      <c r="C88" s="72" t="inlineStr">
        <is>
          <t>DABUR</t>
        </is>
      </c>
      <c r="D88" s="72" t="inlineStr">
        <is>
          <t>FILL</t>
        </is>
      </c>
      <c r="E88" s="72" t="n">
        <v>370.14</v>
      </c>
      <c r="F88" s="72" t="n"/>
      <c r="G88" s="72" t="n">
        <v>7</v>
      </c>
      <c r="H88" s="72" t="n">
        <v>2591</v>
      </c>
      <c r="I88" s="72" t="n"/>
      <c r="J88" s="72" t="n"/>
      <c r="K88" s="72" t="n"/>
      <c r="L88" s="72" t="n"/>
      <c r="M88" s="72" t="inlineStr">
        <is>
          <t>NORMAL</t>
        </is>
      </c>
      <c r="N88" s="72" t="n"/>
      <c r="O88" s="72" t="n">
        <v>7.1</v>
      </c>
      <c r="P88" s="72" t="inlineStr">
        <is>
          <t>BUY</t>
        </is>
      </c>
      <c r="Q88" s="72" t="n">
        <v>0</v>
      </c>
      <c r="R88" s="72" t="inlineStr">
        <is>
          <t>Consumer Goods</t>
        </is>
      </c>
      <c r="S88" s="72" t="inlineStr">
        <is>
          <t>FILL</t>
        </is>
      </c>
      <c r="W88" s="72" t="inlineStr">
        <is>
          <t>NORMAL</t>
        </is>
      </c>
    </row>
    <row r="89">
      <c r="A89" s="31" t="inlineStr">
        <is>
          <t>2026-07-08</t>
        </is>
      </c>
      <c r="B89" s="71" t="n">
        <v>15</v>
      </c>
      <c r="C89" s="72" t="inlineStr">
        <is>
          <t>HEROMOTOCO</t>
        </is>
      </c>
      <c r="D89" s="72" t="inlineStr">
        <is>
          <t>FILL</t>
        </is>
      </c>
      <c r="E89" s="72" t="n">
        <v>1223</v>
      </c>
      <c r="F89" s="72" t="n"/>
      <c r="G89" s="72" t="n">
        <v>2</v>
      </c>
      <c r="H89" s="72" t="n">
        <v>2446</v>
      </c>
      <c r="I89" s="72" t="n"/>
      <c r="J89" s="72" t="n"/>
      <c r="K89" s="72" t="n"/>
      <c r="L89" s="72" t="n"/>
      <c r="M89" s="72" t="inlineStr">
        <is>
          <t>NORMAL</t>
        </is>
      </c>
      <c r="N89" s="72" t="n"/>
      <c r="O89" s="72" t="n">
        <v>6.9</v>
      </c>
      <c r="P89" s="72" t="inlineStr">
        <is>
          <t>BUY</t>
        </is>
      </c>
      <c r="Q89" s="72" t="n">
        <v>0</v>
      </c>
      <c r="R89" s="72" t="inlineStr">
        <is>
          <t>Auto</t>
        </is>
      </c>
      <c r="S89" s="72" t="inlineStr">
        <is>
          <t>FILL</t>
        </is>
      </c>
      <c r="W89" s="72" t="inlineStr">
        <is>
          <t>NORMAL</t>
        </is>
      </c>
    </row>
    <row r="90">
      <c r="A90" s="31" t="inlineStr">
        <is>
          <t>2026-07-08</t>
        </is>
      </c>
      <c r="B90" s="71" t="n">
        <v>15</v>
      </c>
      <c r="C90" s="72" t="inlineStr">
        <is>
          <t>DIVISLAB</t>
        </is>
      </c>
      <c r="D90" s="72" t="inlineStr">
        <is>
          <t>FILL</t>
        </is>
      </c>
      <c r="E90" s="72" t="n">
        <v>2446</v>
      </c>
      <c r="F90" s="72" t="n"/>
      <c r="G90" s="72" t="n">
        <v>1</v>
      </c>
      <c r="H90" s="72" t="n">
        <v>2446</v>
      </c>
      <c r="I90" s="72" t="n"/>
      <c r="J90" s="72" t="n"/>
      <c r="K90" s="72" t="n"/>
      <c r="L90" s="72" t="n"/>
      <c r="M90" s="72" t="inlineStr">
        <is>
          <t>NORMAL</t>
        </is>
      </c>
      <c r="N90" s="72" t="n"/>
      <c r="O90" s="72" t="n">
        <v>7.2</v>
      </c>
      <c r="P90" s="72" t="inlineStr">
        <is>
          <t>BUY</t>
        </is>
      </c>
      <c r="Q90" s="72" t="n">
        <v>0</v>
      </c>
      <c r="R90" s="72" t="inlineStr">
        <is>
          <t>Pharma</t>
        </is>
      </c>
      <c r="S90" s="72" t="inlineStr">
        <is>
          <t>FILL</t>
        </is>
      </c>
      <c r="W90" s="72" t="inlineStr">
        <is>
          <t>NORMAL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baseColWidth="8" defaultColWidth="8.7109375" defaultRowHeight="15"/>
  <cols>
    <col width="12" customWidth="1" min="1" max="1"/>
    <col width="8" customWidth="1" min="2" max="2"/>
    <col width="19" customWidth="1" min="3" max="3"/>
    <col width="10" customWidth="1" min="4" max="4"/>
    <col width="12" customWidth="1" min="5" max="5"/>
    <col width="13" customWidth="1" min="6" max="8"/>
    <col width="16" customWidth="1" min="9" max="9"/>
    <col width="20" customWidth="1" min="10" max="10"/>
    <col width="13" customWidth="1" min="11" max="11"/>
    <col width="12" customWidth="1" min="12" max="12"/>
    <col width="13" customWidth="1" min="13" max="13"/>
    <col width="9" customWidth="1" min="14" max="14"/>
    <col width="14" customWidth="1" min="15" max="15"/>
    <col width="10" customWidth="1" min="16" max="16"/>
    <col width="12" customWidth="1" min="17" max="17"/>
    <col width="13" customWidth="1" min="18" max="18"/>
    <col width="9" customWidth="1" min="19" max="19"/>
  </cols>
  <sheetData>
    <row r="1" ht="15" customHeight="1">
      <c r="A1" s="1" t="inlineStr">
        <is>
          <t>Date</t>
        </is>
      </c>
      <c r="B1" s="1" t="inlineStr">
        <is>
          <t>Day #</t>
        </is>
      </c>
      <c r="C1" s="1" t="inlineStr">
        <is>
          <t>Portfolio Value ₹</t>
        </is>
      </c>
      <c r="D1" s="1" t="inlineStr">
        <is>
          <t>Cash ₹</t>
        </is>
      </c>
      <c r="E1" s="1" t="inlineStr">
        <is>
          <t>Invested ₹</t>
        </is>
      </c>
      <c r="F1" s="1" t="inlineStr">
        <is>
          <t>Daily P&amp;L ₹</t>
        </is>
      </c>
      <c r="G1" s="1" t="inlineStr">
        <is>
          <t>Daily P&amp;L %</t>
        </is>
      </c>
      <c r="H1" s="1" t="inlineStr">
        <is>
          <t>Total P&amp;L ₹</t>
        </is>
      </c>
      <c r="I1" s="1" t="inlineStr">
        <is>
          <t>Total Return %</t>
        </is>
      </c>
      <c r="J1" s="1" t="inlineStr">
        <is>
          <t>Deployed Tonight ₹</t>
        </is>
      </c>
      <c r="K1" s="1" t="inlineStr">
        <is>
          <t>Stocks Held</t>
        </is>
      </c>
      <c r="L1" s="1" t="inlineStr">
        <is>
          <t>Buys Today</t>
        </is>
      </c>
      <c r="M1" s="1" t="inlineStr">
        <is>
          <t>Sells Today</t>
        </is>
      </c>
      <c r="N1" s="1" t="inlineStr">
        <is>
          <t>Avg GPS</t>
        </is>
      </c>
      <c r="O1" s="1" t="inlineStr">
        <is>
          <t>Market Score</t>
        </is>
      </c>
      <c r="P1" s="1" t="inlineStr">
        <is>
          <t>Day Mode</t>
        </is>
      </c>
      <c r="Q1" s="1" t="inlineStr">
        <is>
          <t>Best Stock</t>
        </is>
      </c>
      <c r="R1" s="1" t="inlineStr">
        <is>
          <t>Worst Stock</t>
        </is>
      </c>
      <c r="S1" s="1" t="inlineStr">
        <is>
          <t>Skipped</t>
        </is>
      </c>
    </row>
    <row r="2" ht="15" customHeight="1">
      <c r="A2" t="inlineStr">
        <is>
          <t>2026-06-17</t>
        </is>
      </c>
      <c r="B2" t="n">
        <v>1</v>
      </c>
      <c r="C2" t="n">
        <v>100000</v>
      </c>
      <c r="D2" t="n">
        <v>100000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31500</v>
      </c>
      <c r="K2" t="n">
        <v>0</v>
      </c>
      <c r="L2" t="n">
        <v>4</v>
      </c>
      <c r="M2" t="n">
        <v>0</v>
      </c>
      <c r="N2" t="n">
        <v>6.73</v>
      </c>
      <c r="O2" t="n">
        <v>5</v>
      </c>
      <c r="P2" t="inlineStr">
        <is>
          <t>NORMAL</t>
        </is>
      </c>
      <c r="S2">
        <f>FALSE()</f>
        <v/>
      </c>
    </row>
    <row r="3" ht="15" customHeight="1">
      <c r="A3" t="inlineStr">
        <is>
          <t>2026-06-18</t>
        </is>
      </c>
      <c r="B3" t="n">
        <v>2</v>
      </c>
      <c r="C3" t="n">
        <v>100305.85</v>
      </c>
      <c r="D3" t="n">
        <v>68500.00999999999</v>
      </c>
      <c r="E3" t="n">
        <v>31805.84</v>
      </c>
      <c r="F3" s="3" t="n">
        <v>305.85</v>
      </c>
      <c r="G3" s="3" t="n">
        <v>0.31</v>
      </c>
      <c r="H3" s="3" t="n">
        <v>305.85</v>
      </c>
      <c r="I3" s="3" t="n">
        <v>0.31</v>
      </c>
      <c r="J3" t="n">
        <v>23364</v>
      </c>
      <c r="K3" t="n">
        <v>3</v>
      </c>
      <c r="L3" t="n">
        <v>9</v>
      </c>
      <c r="M3" t="n">
        <v>1</v>
      </c>
      <c r="N3" t="n">
        <v>6.75</v>
      </c>
      <c r="O3" t="n">
        <v>5</v>
      </c>
      <c r="P3" t="inlineStr">
        <is>
          <t>NORMAL</t>
        </is>
      </c>
      <c r="R3" t="inlineStr">
        <is>
          <t>PHOENIXLTD</t>
        </is>
      </c>
      <c r="S3">
        <f>FALSE()</f>
        <v/>
      </c>
    </row>
    <row r="4" ht="15" customHeight="1">
      <c r="A4" t="inlineStr">
        <is>
          <t>2026-06-19</t>
        </is>
      </c>
      <c r="B4" t="n">
        <v>3</v>
      </c>
      <c r="C4" t="n">
        <v>100130.57</v>
      </c>
      <c r="D4" t="n">
        <v>53391.37</v>
      </c>
      <c r="E4" t="n">
        <v>46739.2</v>
      </c>
      <c r="F4" s="4" t="n">
        <v>-175.28</v>
      </c>
      <c r="G4" s="4" t="n">
        <v>-0.17</v>
      </c>
      <c r="H4" s="3" t="n">
        <v>130.57</v>
      </c>
      <c r="I4" s="3" t="n">
        <v>0.13</v>
      </c>
      <c r="J4" t="n">
        <v>18964</v>
      </c>
      <c r="K4" t="n">
        <v>6</v>
      </c>
      <c r="L4" t="n">
        <v>9</v>
      </c>
      <c r="M4" t="n">
        <v>1</v>
      </c>
      <c r="N4" t="n">
        <v>6.75</v>
      </c>
      <c r="O4" t="n">
        <v>5</v>
      </c>
      <c r="P4" t="inlineStr">
        <is>
          <t>NORMAL</t>
        </is>
      </c>
      <c r="R4" t="inlineStr">
        <is>
          <t>CARTRADE</t>
        </is>
      </c>
      <c r="S4">
        <f>FALSE()</f>
        <v/>
      </c>
    </row>
    <row r="5" ht="15" customHeight="1">
      <c r="A5" t="inlineStr">
        <is>
          <t>2026-06-22</t>
        </is>
      </c>
      <c r="B5" t="n">
        <v>4</v>
      </c>
      <c r="C5" t="n">
        <v>100281.62</v>
      </c>
      <c r="D5" t="n">
        <v>45218.4</v>
      </c>
      <c r="E5" t="n">
        <v>55063.22</v>
      </c>
      <c r="F5" s="3" t="n">
        <v>151.05</v>
      </c>
      <c r="G5" s="3" t="n">
        <v>0.15</v>
      </c>
      <c r="H5" s="3" t="n">
        <v>281.62</v>
      </c>
      <c r="I5" s="3" t="n">
        <v>0.28</v>
      </c>
      <c r="J5" t="n">
        <v>15344</v>
      </c>
      <c r="K5" t="n">
        <v>9</v>
      </c>
      <c r="L5" t="n">
        <v>9</v>
      </c>
      <c r="M5" t="n">
        <v>1</v>
      </c>
      <c r="N5" t="n">
        <v>6.68</v>
      </c>
      <c r="O5" t="n">
        <v>5</v>
      </c>
      <c r="P5" t="inlineStr">
        <is>
          <t>NORMAL</t>
        </is>
      </c>
      <c r="R5" t="inlineStr">
        <is>
          <t>PHOENIXLTD</t>
        </is>
      </c>
      <c r="S5">
        <f>FALSE()</f>
        <v/>
      </c>
    </row>
    <row r="6" ht="15" customHeight="1">
      <c r="A6" t="inlineStr">
        <is>
          <t>2026-06-23</t>
        </is>
      </c>
      <c r="B6" t="n">
        <v>5</v>
      </c>
      <c r="C6" t="n">
        <v>99624.2</v>
      </c>
      <c r="D6" t="n">
        <v>38496.18</v>
      </c>
      <c r="E6" t="n">
        <v>61128.02</v>
      </c>
      <c r="F6" s="4" t="n">
        <v>-657.42</v>
      </c>
      <c r="G6" s="4" t="n">
        <v>-0.66</v>
      </c>
      <c r="H6" s="4" t="n">
        <v>-375.8</v>
      </c>
      <c r="I6" s="4" t="n">
        <v>-0.38</v>
      </c>
      <c r="J6" t="n">
        <v>23864</v>
      </c>
      <c r="K6" t="n">
        <v>5</v>
      </c>
      <c r="L6" t="n">
        <v>10</v>
      </c>
      <c r="M6" t="n">
        <v>9</v>
      </c>
      <c r="N6" t="n">
        <v>6.72</v>
      </c>
      <c r="O6" t="n">
        <v>5</v>
      </c>
      <c r="P6" t="inlineStr">
        <is>
          <t>NORMAL</t>
        </is>
      </c>
      <c r="Q6" t="inlineStr">
        <is>
          <t>ICICIBANK</t>
        </is>
      </c>
      <c r="R6" t="inlineStr">
        <is>
          <t>IDEA</t>
        </is>
      </c>
      <c r="S6">
        <f>FALSE()</f>
        <v/>
      </c>
    </row>
    <row r="7" ht="15" customHeight="1">
      <c r="A7" t="inlineStr">
        <is>
          <t>2026-06-24</t>
        </is>
      </c>
      <c r="B7" t="n">
        <v>6</v>
      </c>
      <c r="C7" t="n">
        <v>100042.58</v>
      </c>
      <c r="D7" t="n">
        <v>54316.36</v>
      </c>
      <c r="E7" t="n">
        <v>45726.22</v>
      </c>
      <c r="F7" s="3" t="n">
        <v>418.38</v>
      </c>
      <c r="G7" s="3" t="n">
        <v>0.42</v>
      </c>
      <c r="H7" s="3" t="n">
        <v>42.58</v>
      </c>
      <c r="I7" s="3" t="n">
        <v>0.04</v>
      </c>
      <c r="J7" t="n">
        <v>17696</v>
      </c>
      <c r="K7" t="n">
        <v>9</v>
      </c>
      <c r="L7" t="n">
        <v>10</v>
      </c>
      <c r="M7" t="n">
        <v>1</v>
      </c>
      <c r="N7" t="n">
        <v>6.83</v>
      </c>
      <c r="O7" t="n">
        <v>5</v>
      </c>
      <c r="P7" t="inlineStr">
        <is>
          <t>NORMAL</t>
        </is>
      </c>
      <c r="R7" t="inlineStr">
        <is>
          <t>CARTRADE</t>
        </is>
      </c>
      <c r="S7">
        <f>FALSE()</f>
        <v/>
      </c>
    </row>
    <row r="8" ht="15" customHeight="1">
      <c r="A8" t="inlineStr">
        <is>
          <t>2026-06-25</t>
        </is>
      </c>
      <c r="B8" t="n">
        <v>7</v>
      </c>
      <c r="C8" t="n">
        <v>99991.28</v>
      </c>
      <c r="D8" t="n">
        <v>42862.62</v>
      </c>
      <c r="E8" t="n">
        <v>57128.66</v>
      </c>
      <c r="F8" s="4" t="n">
        <v>-51.3</v>
      </c>
      <c r="G8" s="4" t="n">
        <v>-0.05</v>
      </c>
      <c r="H8" s="4" t="n">
        <v>-8.720000000000001</v>
      </c>
      <c r="I8" s="4" t="n">
        <v>-0.01</v>
      </c>
      <c r="J8" t="n">
        <v>19531</v>
      </c>
      <c r="K8" t="n">
        <v>8</v>
      </c>
      <c r="L8" t="n">
        <v>10</v>
      </c>
      <c r="M8" t="n">
        <v>6</v>
      </c>
      <c r="N8" t="n">
        <v>6.59</v>
      </c>
      <c r="O8" t="n">
        <v>5</v>
      </c>
      <c r="P8" t="inlineStr">
        <is>
          <t>NORMAL</t>
        </is>
      </c>
      <c r="Q8" t="inlineStr">
        <is>
          <t>KOTAKBANK</t>
        </is>
      </c>
      <c r="R8" t="inlineStr">
        <is>
          <t>ZEEL</t>
        </is>
      </c>
      <c r="S8">
        <f>FALSE()</f>
        <v/>
      </c>
    </row>
    <row r="9" ht="15" customHeight="1">
      <c r="A9" t="inlineStr">
        <is>
          <t>2026-06-29</t>
        </is>
      </c>
      <c r="B9" t="n">
        <v>8</v>
      </c>
      <c r="C9" t="n">
        <v>99614.74000000001</v>
      </c>
      <c r="D9" t="n">
        <v>46272.98</v>
      </c>
      <c r="E9" t="n">
        <v>53341.76</v>
      </c>
      <c r="F9" s="4" t="n">
        <v>-376.54</v>
      </c>
      <c r="G9" s="4" t="n">
        <v>-0.38</v>
      </c>
      <c r="H9" t="n">
        <v>-385.26</v>
      </c>
      <c r="I9" t="n">
        <v>-0.39</v>
      </c>
      <c r="J9" t="n">
        <v>18092</v>
      </c>
      <c r="K9" t="n">
        <v>9</v>
      </c>
      <c r="L9" t="n">
        <v>9</v>
      </c>
      <c r="M9" t="n">
        <v>3</v>
      </c>
      <c r="N9" t="n">
        <v>6.92</v>
      </c>
      <c r="O9" t="n">
        <v>5</v>
      </c>
      <c r="P9" t="inlineStr">
        <is>
          <t>NORMAL</t>
        </is>
      </c>
      <c r="Q9" t="inlineStr">
        <is>
          <t>HDFCBANK</t>
        </is>
      </c>
      <c r="R9" t="inlineStr">
        <is>
          <t>ZEEL</t>
        </is>
      </c>
      <c r="S9">
        <f>FALSE()</f>
        <v/>
      </c>
    </row>
    <row r="10" ht="15" customHeight="1">
      <c r="A10" t="inlineStr">
        <is>
          <t>2026-06-30</t>
        </is>
      </c>
      <c r="B10" t="n">
        <v>9</v>
      </c>
      <c r="C10" t="n">
        <v>99650.82000000001</v>
      </c>
      <c r="D10" t="n">
        <v>43598.35</v>
      </c>
      <c r="E10" t="n">
        <v>56052.47</v>
      </c>
      <c r="F10" s="6" t="n">
        <v>36.08</v>
      </c>
      <c r="G10" s="6" t="n">
        <v>0.04</v>
      </c>
      <c r="H10" t="n">
        <v>-349.18</v>
      </c>
      <c r="I10" t="n">
        <v>-0.35</v>
      </c>
      <c r="J10" t="n">
        <v>19130</v>
      </c>
      <c r="K10" t="n">
        <v>10</v>
      </c>
      <c r="L10" t="n">
        <v>8</v>
      </c>
      <c r="M10" t="n">
        <v>2</v>
      </c>
      <c r="N10" t="n">
        <v>6.76</v>
      </c>
      <c r="O10" t="n">
        <v>5</v>
      </c>
      <c r="P10" t="inlineStr">
        <is>
          <t>NORMAL</t>
        </is>
      </c>
      <c r="Q10" t="inlineStr">
        <is>
          <t>AXISBANK</t>
        </is>
      </c>
      <c r="R10" t="inlineStr">
        <is>
          <t>HDFCBANK</t>
        </is>
      </c>
      <c r="S10">
        <f>FALSE()</f>
        <v/>
      </c>
    </row>
    <row r="11" ht="15" customHeight="1">
      <c r="A11" t="inlineStr">
        <is>
          <t>2026-07-01</t>
        </is>
      </c>
      <c r="B11" t="n">
        <v>10</v>
      </c>
      <c r="C11" t="n">
        <v>99989.69</v>
      </c>
      <c r="D11" t="n">
        <v>45527.02</v>
      </c>
      <c r="E11" t="n">
        <v>54462.67</v>
      </c>
      <c r="F11" s="6" t="n">
        <v>338.87</v>
      </c>
      <c r="G11" s="6" t="n">
        <v>0.34</v>
      </c>
      <c r="H11" t="n">
        <v>-10.31</v>
      </c>
      <c r="I11" t="n">
        <v>-0.01</v>
      </c>
      <c r="J11" t="n">
        <v>16592</v>
      </c>
      <c r="K11" t="n">
        <v>12</v>
      </c>
      <c r="L11" t="n">
        <v>8</v>
      </c>
      <c r="M11" t="n">
        <v>1</v>
      </c>
      <c r="N11" t="n">
        <v>6.91</v>
      </c>
      <c r="O11" t="n">
        <v>5</v>
      </c>
      <c r="P11" t="inlineStr">
        <is>
          <t>NORMAL</t>
        </is>
      </c>
      <c r="R11" t="inlineStr">
        <is>
          <t>LUPIN</t>
        </is>
      </c>
      <c r="S11">
        <f>FALSE()</f>
        <v/>
      </c>
    </row>
    <row r="12" ht="15" customHeight="1">
      <c r="A12" t="inlineStr">
        <is>
          <t>2026-07-02</t>
        </is>
      </c>
      <c r="B12" t="n">
        <v>11</v>
      </c>
      <c r="C12" t="n">
        <v>99942.91</v>
      </c>
      <c r="D12" t="n">
        <v>40814.38</v>
      </c>
      <c r="E12" t="n">
        <v>59128.53</v>
      </c>
      <c r="F12" s="4" t="n">
        <v>-46.78</v>
      </c>
      <c r="G12" s="4" t="n">
        <v>-0.05</v>
      </c>
      <c r="H12" t="n">
        <v>-57.09</v>
      </c>
      <c r="I12" t="n">
        <v>-0.06</v>
      </c>
      <c r="J12" t="n">
        <v>14966</v>
      </c>
      <c r="K12" t="n">
        <v>14</v>
      </c>
      <c r="L12" t="n">
        <v>7</v>
      </c>
      <c r="M12" t="n">
        <v>2</v>
      </c>
      <c r="N12" t="n">
        <v>6.68</v>
      </c>
      <c r="O12" t="n">
        <v>5</v>
      </c>
      <c r="P12" t="inlineStr">
        <is>
          <t>NORMAL</t>
        </is>
      </c>
      <c r="Q12" t="inlineStr">
        <is>
          <t>ZEEL</t>
        </is>
      </c>
      <c r="R12" t="inlineStr">
        <is>
          <t>LUPIN</t>
        </is>
      </c>
      <c r="S12">
        <f>FALSE()</f>
        <v/>
      </c>
    </row>
    <row r="13" ht="15" customHeight="1">
      <c r="A13" t="inlineStr">
        <is>
          <t>2026-07-04</t>
        </is>
      </c>
      <c r="B13" t="n">
        <v>12</v>
      </c>
      <c r="C13" t="n">
        <v>100355.31</v>
      </c>
      <c r="D13" t="n">
        <v>37792.68</v>
      </c>
      <c r="E13" t="n">
        <v>62562.63</v>
      </c>
      <c r="F13" s="6" t="n">
        <v>412.4</v>
      </c>
      <c r="G13" s="6" t="n">
        <v>0.41</v>
      </c>
      <c r="H13" s="7" t="n">
        <v>355.31</v>
      </c>
      <c r="I13" s="7" t="n">
        <v>0.36</v>
      </c>
      <c r="J13" t="n">
        <v>6828</v>
      </c>
      <c r="K13" t="n">
        <v>16</v>
      </c>
      <c r="L13" t="n">
        <v>5</v>
      </c>
      <c r="M13" t="n">
        <v>0</v>
      </c>
      <c r="N13" t="n">
        <v>6.48</v>
      </c>
      <c r="O13" t="n">
        <v>5</v>
      </c>
      <c r="P13" t="inlineStr">
        <is>
          <t>CAUTIOUS</t>
        </is>
      </c>
      <c r="S13">
        <f>FALSE()</f>
        <v/>
      </c>
    </row>
    <row r="14" ht="15" customHeight="1">
      <c r="A14" t="inlineStr">
        <is>
          <t>2026-07-06</t>
        </is>
      </c>
      <c r="B14" t="n">
        <v>13</v>
      </c>
      <c r="C14" t="n">
        <v>101109.37</v>
      </c>
      <c r="D14" t="n">
        <v>37310.4</v>
      </c>
      <c r="E14" t="n">
        <v>63798.97</v>
      </c>
      <c r="F14" s="6" t="n">
        <v>754.0599999999999</v>
      </c>
      <c r="G14" s="6" t="n">
        <v>0.75</v>
      </c>
      <c r="H14" s="7" t="n">
        <v>1109.37</v>
      </c>
      <c r="I14" s="7" t="n">
        <v>1.11</v>
      </c>
      <c r="J14" t="n">
        <v>6318</v>
      </c>
      <c r="K14" t="n">
        <v>18</v>
      </c>
      <c r="L14" t="n">
        <v>4</v>
      </c>
      <c r="M14" t="n">
        <v>0</v>
      </c>
      <c r="N14" t="n">
        <v>6.45</v>
      </c>
      <c r="O14" t="n">
        <v>5</v>
      </c>
      <c r="P14" t="inlineStr">
        <is>
          <t>CAUTIOUS</t>
        </is>
      </c>
      <c r="S14">
        <f>FALSE()</f>
        <v/>
      </c>
    </row>
    <row r="15" ht="15" customHeight="1">
      <c r="A15" s="9" t="inlineStr">
        <is>
          <t>2026-07-07</t>
        </is>
      </c>
      <c r="B15" t="n">
        <v>14</v>
      </c>
      <c r="C15" t="n">
        <v>100913.3</v>
      </c>
      <c r="D15" t="n">
        <v>35268.71</v>
      </c>
      <c r="E15" t="n">
        <v>65644.59</v>
      </c>
      <c r="F15" s="4" t="n">
        <v>-196.07</v>
      </c>
      <c r="G15" s="4" t="n">
        <v>-0.002</v>
      </c>
      <c r="H15" s="6" t="n">
        <v>913.3</v>
      </c>
      <c r="I15" s="6" t="n">
        <v>0.91</v>
      </c>
      <c r="J15" t="n">
        <v>12302</v>
      </c>
      <c r="K15" t="n">
        <v>17</v>
      </c>
      <c r="L15" t="n">
        <v>5</v>
      </c>
      <c r="M15" t="n">
        <v>1</v>
      </c>
      <c r="N15" t="n">
        <v>6.57</v>
      </c>
      <c r="O15" t="n">
        <v>5</v>
      </c>
      <c r="P15" t="inlineStr">
        <is>
          <t>NORMAL</t>
        </is>
      </c>
      <c r="R15" t="inlineStr">
        <is>
          <t>IDEA</t>
        </is>
      </c>
      <c r="S15">
        <f>FALSE()</f>
        <v/>
      </c>
    </row>
    <row r="16">
      <c r="A16" s="115" t="inlineStr">
        <is>
          <t>2026-07-08</t>
        </is>
      </c>
      <c r="B16" s="110" t="n">
        <v>15</v>
      </c>
      <c r="C16" s="110" t="n">
        <v>99787</v>
      </c>
      <c r="D16" s="110" t="n">
        <v>33468.05</v>
      </c>
      <c r="E16" s="110" t="n">
        <v>66318.95</v>
      </c>
      <c r="F16" s="111" t="n">
        <v>-1126.3</v>
      </c>
      <c r="G16" s="111" t="n">
        <v>-0.213</v>
      </c>
      <c r="H16" s="111" t="n">
        <v>-213</v>
      </c>
      <c r="I16" s="111" t="n">
        <v>-0.213</v>
      </c>
      <c r="J16" s="110" t="n">
        <v>7484</v>
      </c>
      <c r="K16" s="110" t="n">
        <v>16</v>
      </c>
      <c r="L16" s="110" t="n">
        <v>3</v>
      </c>
      <c r="M16" s="110" t="n">
        <v>0</v>
      </c>
      <c r="N16" s="110" t="n">
        <v>6.2</v>
      </c>
      <c r="O16" s="110" t="n">
        <v>5.5</v>
      </c>
      <c r="P16" s="110" t="inlineStr">
        <is>
          <t>NORMAL</t>
        </is>
      </c>
      <c r="Q16" s="65" t="n"/>
      <c r="R16" s="65" t="n"/>
      <c r="S16" s="65" t="b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2" customWidth="1" min="1" max="2"/>
    <col width="15" customWidth="1" min="3" max="3"/>
    <col width="17" customWidth="1" min="4" max="4"/>
    <col width="8" customWidth="1" min="5" max="5"/>
    <col width="12" customWidth="1" min="6" max="6"/>
    <col width="17" customWidth="1" min="7" max="7"/>
    <col width="18" customWidth="1" min="8" max="9"/>
    <col width="13" customWidth="1" min="10" max="10"/>
    <col width="11" customWidth="1" min="11" max="12"/>
    <col width="13" customWidth="1" min="13" max="13"/>
    <col width="14" customWidth="1" min="14" max="14"/>
    <col width="13" customWidth="1" min="15" max="15"/>
    <col width="18" customWidth="1" min="16" max="16"/>
    <col width="20" customWidth="1" min="17" max="17"/>
    <col width="14" customWidth="1" min="18" max="18"/>
    <col width="8" customWidth="1" min="19" max="19"/>
    <col width="14" customWidth="1" min="20" max="20"/>
    <col width="35" customWidth="1" min="21" max="21"/>
  </cols>
  <sheetData>
    <row r="1" ht="15" customHeight="1">
      <c r="A1" s="1" t="inlineStr">
        <is>
          <t>Symbol</t>
        </is>
      </c>
      <c r="B1" s="1" t="inlineStr">
        <is>
          <t>Entry Date</t>
        </is>
      </c>
      <c r="C1" s="1" t="inlineStr">
        <is>
          <t>Entry Price ₹</t>
        </is>
      </c>
      <c r="D1" s="1" t="inlineStr">
        <is>
          <t>Current Price ₹</t>
        </is>
      </c>
      <c r="E1" s="1" t="inlineStr">
        <is>
          <t>Qty</t>
        </is>
      </c>
      <c r="F1" s="1" t="inlineStr">
        <is>
          <t>Invested ₹</t>
        </is>
      </c>
      <c r="G1" s="1" t="inlineStr">
        <is>
          <t>Current Value ₹</t>
        </is>
      </c>
      <c r="H1" s="1" t="inlineStr">
        <is>
          <t>Unrealised P&amp;L ₹</t>
        </is>
      </c>
      <c r="I1" s="1" t="inlineStr">
        <is>
          <t>Unrealised P&amp;L %</t>
        </is>
      </c>
      <c r="J1" s="1" t="inlineStr">
        <is>
          <t>Stop Loss ₹</t>
        </is>
      </c>
      <c r="K1" s="1" t="inlineStr">
        <is>
          <t>Stop Mode</t>
        </is>
      </c>
      <c r="L1" s="1" t="inlineStr">
        <is>
          <t>Days Held</t>
        </is>
      </c>
      <c r="M1" s="1" t="inlineStr">
        <is>
          <t>Entry Score</t>
        </is>
      </c>
      <c r="N1" s="1" t="inlineStr">
        <is>
          <t>Latest Score</t>
        </is>
      </c>
      <c r="O1" s="1" t="inlineStr">
        <is>
          <t>Score Trend</t>
        </is>
      </c>
      <c r="P1" s="1" t="inlineStr">
        <is>
          <t>Improving Nights</t>
        </is>
      </c>
      <c r="Q1" s="1" t="inlineStr">
        <is>
          <t>Sector</t>
        </is>
      </c>
      <c r="R1" s="1" t="inlineStr">
        <is>
          <t>Verdict</t>
        </is>
      </c>
      <c r="S1" s="1" t="inlineStr">
        <is>
          <t>GPS</t>
        </is>
      </c>
      <c r="T1" s="1" t="inlineStr">
        <is>
          <t>21D Target ₹</t>
        </is>
      </c>
      <c r="U1" s="1" t="inlineStr">
        <is>
          <t>Google Finance</t>
        </is>
      </c>
    </row>
    <row r="2" ht="15" customHeight="1">
      <c r="A2" t="inlineStr">
        <is>
          <t>SUNPHARMA</t>
        </is>
      </c>
      <c r="B2" t="inlineStr">
        <is>
          <t>2026-06-22</t>
        </is>
      </c>
      <c r="C2" t="n">
        <v>1845</v>
      </c>
      <c r="D2" t="n">
        <v>1903.4</v>
      </c>
      <c r="E2" t="n">
        <v>2</v>
      </c>
      <c r="F2" t="n">
        <v>3690</v>
      </c>
      <c r="G2" t="n">
        <v>3806.8</v>
      </c>
      <c r="H2" s="3" t="n">
        <v>116.8</v>
      </c>
      <c r="I2" s="3" t="n">
        <v>3.17</v>
      </c>
      <c r="J2" t="n">
        <v>1715.85</v>
      </c>
      <c r="K2" t="inlineStr">
        <is>
          <t>RISK</t>
        </is>
      </c>
      <c r="L2" t="n">
        <v>17</v>
      </c>
      <c r="M2" t="n">
        <v>6.7</v>
      </c>
      <c r="N2" t="n">
        <v>7.45</v>
      </c>
      <c r="O2" t="inlineStr">
        <is>
          <t>↑</t>
        </is>
      </c>
      <c r="P2" t="n">
        <v>3</v>
      </c>
      <c r="Q2" t="inlineStr">
        <is>
          <t>Healthcare</t>
        </is>
      </c>
      <c r="R2" t="inlineStr">
        <is>
          <t>ACCUMULATE 💚</t>
        </is>
      </c>
      <c r="S2" t="n">
        <v>6.43</v>
      </c>
      <c r="U2" t="inlineStr">
        <is>
          <t>https://www.google.com/finance/quote/SUNPHARMA:NSE</t>
        </is>
      </c>
    </row>
    <row r="3" ht="15" customHeight="1">
      <c r="A3" t="inlineStr">
        <is>
          <t>PRESTIGE</t>
        </is>
      </c>
      <c r="B3" t="inlineStr">
        <is>
          <t>2026-06-22</t>
        </is>
      </c>
      <c r="C3" t="n">
        <v>1504.3</v>
      </c>
      <c r="D3" t="n">
        <v>1673.3</v>
      </c>
      <c r="E3" t="n">
        <v>2</v>
      </c>
      <c r="F3" t="n">
        <v>3008.6</v>
      </c>
      <c r="G3" t="n">
        <v>3346.6</v>
      </c>
      <c r="H3" s="3" t="n">
        <v>338</v>
      </c>
      <c r="I3" s="3" t="n">
        <v>11.23</v>
      </c>
      <c r="J3" t="n">
        <v>1459.17</v>
      </c>
      <c r="K3" t="inlineStr">
        <is>
          <t>TIGHT</t>
        </is>
      </c>
      <c r="L3" t="n">
        <v>17</v>
      </c>
      <c r="M3" t="n">
        <v>6</v>
      </c>
      <c r="N3" t="n">
        <v>6.35</v>
      </c>
      <c r="O3" t="inlineStr">
        <is>
          <t>↑</t>
        </is>
      </c>
      <c r="P3" t="n">
        <v>2</v>
      </c>
      <c r="Q3" t="inlineStr">
        <is>
          <t>Real Estate</t>
        </is>
      </c>
      <c r="R3" t="inlineStr">
        <is>
          <t>HOLD ⚖️</t>
        </is>
      </c>
      <c r="S3" t="n">
        <v>6.8</v>
      </c>
      <c r="U3" t="inlineStr">
        <is>
          <t>https://www.google.com/finance/quote/PRESTIGE:NSE</t>
        </is>
      </c>
    </row>
    <row r="4" ht="15" customHeight="1">
      <c r="A4" t="inlineStr">
        <is>
          <t>CIPLA</t>
        </is>
      </c>
      <c r="B4" t="inlineStr">
        <is>
          <t>2026-06-23</t>
        </is>
      </c>
      <c r="C4" t="n">
        <v>1422.8</v>
      </c>
      <c r="D4" t="n">
        <v>1451.8</v>
      </c>
      <c r="E4" t="n">
        <v>2</v>
      </c>
      <c r="F4" t="n">
        <v>2845.6</v>
      </c>
      <c r="G4" t="n">
        <v>2903.6</v>
      </c>
      <c r="H4" s="3" t="n">
        <v>58</v>
      </c>
      <c r="I4" s="3" t="n">
        <v>2.04</v>
      </c>
      <c r="J4" t="n">
        <v>1280.52</v>
      </c>
      <c r="K4" t="inlineStr">
        <is>
          <t>RISK</t>
        </is>
      </c>
      <c r="L4" t="n">
        <v>16</v>
      </c>
      <c r="M4" t="n">
        <v>7.05</v>
      </c>
      <c r="N4" t="n">
        <v>7.78</v>
      </c>
      <c r="O4" t="inlineStr">
        <is>
          <t>↓</t>
        </is>
      </c>
      <c r="P4" t="n">
        <v>0</v>
      </c>
      <c r="Q4" t="inlineStr">
        <is>
          <t>Healthcare</t>
        </is>
      </c>
      <c r="R4" t="inlineStr">
        <is>
          <t>ACCUMULATE 💚</t>
        </is>
      </c>
      <c r="S4" t="n">
        <v>7.2</v>
      </c>
      <c r="U4" t="inlineStr">
        <is>
          <t>https://www.google.com/finance/quote/CIPLA:NSE</t>
        </is>
      </c>
    </row>
    <row r="5" ht="15" customHeight="1">
      <c r="A5" t="inlineStr">
        <is>
          <t>SBIN</t>
        </is>
      </c>
      <c r="B5" t="inlineStr">
        <is>
          <t>2026-06-24</t>
        </is>
      </c>
      <c r="C5" t="n">
        <v>1024</v>
      </c>
      <c r="D5" t="n">
        <v>1038.1</v>
      </c>
      <c r="E5" t="n">
        <v>4</v>
      </c>
      <c r="F5" t="n">
        <v>4096</v>
      </c>
      <c r="G5" t="n">
        <v>4152.4</v>
      </c>
      <c r="H5" s="3" t="n">
        <v>56.4</v>
      </c>
      <c r="I5" s="3" t="n">
        <v>1.38</v>
      </c>
      <c r="J5" t="n">
        <v>993.28</v>
      </c>
      <c r="K5" t="inlineStr">
        <is>
          <t>TIGHT</t>
        </is>
      </c>
      <c r="L5" t="n">
        <v>15</v>
      </c>
      <c r="M5" t="n">
        <v>7.03</v>
      </c>
      <c r="N5" t="n">
        <v>6.3</v>
      </c>
      <c r="O5" t="inlineStr">
        <is>
          <t>↑</t>
        </is>
      </c>
      <c r="P5" t="n">
        <v>1</v>
      </c>
      <c r="Q5" t="inlineStr">
        <is>
          <t>Financial Services</t>
        </is>
      </c>
      <c r="R5" t="inlineStr">
        <is>
          <t>ACCUMULATE 💚</t>
        </is>
      </c>
      <c r="S5" t="n">
        <v>6.83</v>
      </c>
      <c r="U5" t="inlineStr">
        <is>
          <t>https://www.google.com/finance/quote/SBIN:NSE</t>
        </is>
      </c>
    </row>
    <row r="6" ht="15" customHeight="1">
      <c r="A6" t="inlineStr">
        <is>
          <t>HFCL</t>
        </is>
      </c>
      <c r="B6" t="inlineStr">
        <is>
          <t>2026-06-24</t>
        </is>
      </c>
      <c r="C6" t="n">
        <v>202</v>
      </c>
      <c r="D6" t="n">
        <v>226.04</v>
      </c>
      <c r="E6" t="n">
        <v>24</v>
      </c>
      <c r="F6" t="n">
        <v>4848</v>
      </c>
      <c r="G6" t="n">
        <v>5424.96</v>
      </c>
      <c r="H6" s="3" t="n">
        <v>576.96</v>
      </c>
      <c r="I6" s="3" t="n">
        <v>11.9</v>
      </c>
      <c r="J6" t="n">
        <v>195.94</v>
      </c>
      <c r="K6" t="inlineStr">
        <is>
          <t>TIGHT</t>
        </is>
      </c>
      <c r="L6" t="n">
        <v>15</v>
      </c>
      <c r="M6" t="n">
        <v>6.85</v>
      </c>
      <c r="N6" t="n">
        <v>5.8</v>
      </c>
      <c r="O6" t="inlineStr">
        <is>
          <t>↓</t>
        </is>
      </c>
      <c r="P6" t="n">
        <v>0</v>
      </c>
      <c r="Q6" t="inlineStr">
        <is>
          <t>Telecom</t>
        </is>
      </c>
      <c r="R6" t="inlineStr">
        <is>
          <t>ACCUMULATE 💚</t>
        </is>
      </c>
      <c r="S6" t="n">
        <v>6.72</v>
      </c>
      <c r="U6" t="inlineStr">
        <is>
          <t>https://www.google.com/finance/quote/HFCL:NSE</t>
        </is>
      </c>
    </row>
    <row r="7" ht="15" customHeight="1">
      <c r="A7" t="inlineStr">
        <is>
          <t>ICICIBANK</t>
        </is>
      </c>
      <c r="B7" t="inlineStr">
        <is>
          <t>2026-06-24</t>
        </is>
      </c>
      <c r="C7" t="n">
        <v>1340.6</v>
      </c>
      <c r="D7" t="n">
        <v>1414.7</v>
      </c>
      <c r="E7" t="n">
        <v>3</v>
      </c>
      <c r="F7" t="n">
        <v>4021.8</v>
      </c>
      <c r="G7" t="n">
        <v>4244.1</v>
      </c>
      <c r="H7" s="3" t="n">
        <v>222.3</v>
      </c>
      <c r="I7" s="3" t="n">
        <v>5.53</v>
      </c>
      <c r="J7" t="n">
        <v>1300.38</v>
      </c>
      <c r="K7" t="inlineStr">
        <is>
          <t>TIGHT</t>
        </is>
      </c>
      <c r="L7" t="n">
        <v>15</v>
      </c>
      <c r="M7" t="n">
        <v>6.37</v>
      </c>
      <c r="N7" t="n">
        <v>6.95</v>
      </c>
      <c r="O7" t="inlineStr">
        <is>
          <t>↑</t>
        </is>
      </c>
      <c r="P7" t="n">
        <v>2</v>
      </c>
      <c r="Q7" t="inlineStr">
        <is>
          <t>Financial Services</t>
        </is>
      </c>
      <c r="R7" t="inlineStr">
        <is>
          <t>HOLD ⚖️</t>
        </is>
      </c>
      <c r="S7" t="n">
        <v>6.23</v>
      </c>
      <c r="U7" t="inlineStr">
        <is>
          <t>https://www.google.com/finance/quote/ICICIBANK:NSE</t>
        </is>
      </c>
    </row>
    <row r="8" ht="15" customHeight="1">
      <c r="A8" t="inlineStr">
        <is>
          <t>DRREDDY</t>
        </is>
      </c>
      <c r="B8" t="inlineStr">
        <is>
          <t>2026-06-25</t>
        </is>
      </c>
      <c r="C8" t="n">
        <v>1331.9</v>
      </c>
      <c r="D8" t="n">
        <v>1354.6</v>
      </c>
      <c r="E8" t="n">
        <v>2</v>
      </c>
      <c r="F8" t="n">
        <v>2663.8</v>
      </c>
      <c r="G8" t="n">
        <v>2709.2</v>
      </c>
      <c r="H8" s="3" t="n">
        <v>45.4</v>
      </c>
      <c r="I8" s="3" t="n">
        <v>1.7</v>
      </c>
      <c r="J8" t="n">
        <v>1291.94</v>
      </c>
      <c r="K8" t="inlineStr">
        <is>
          <t>TIGHT</t>
        </is>
      </c>
      <c r="L8" t="n">
        <v>14</v>
      </c>
      <c r="M8" t="n">
        <v>7</v>
      </c>
      <c r="N8" t="n">
        <v>8.039999999999999</v>
      </c>
      <c r="O8" t="inlineStr">
        <is>
          <t>↑</t>
        </is>
      </c>
      <c r="P8" t="n">
        <v>2</v>
      </c>
      <c r="Q8" t="inlineStr">
        <is>
          <t>Healthcare</t>
        </is>
      </c>
      <c r="R8" t="inlineStr">
        <is>
          <t>ACCUMULATE 💚</t>
        </is>
      </c>
      <c r="S8" t="n">
        <v>7.3</v>
      </c>
      <c r="U8" t="inlineStr">
        <is>
          <t>https://www.google.com/finance/quote/DRREDDY:NSE</t>
        </is>
      </c>
    </row>
    <row r="9" ht="15" customHeight="1">
      <c r="A9" t="inlineStr">
        <is>
          <t>NYKAA</t>
        </is>
      </c>
      <c r="B9" t="inlineStr">
        <is>
          <t>2026-06-29</t>
        </is>
      </c>
      <c r="C9" t="n">
        <v>301.3</v>
      </c>
      <c r="D9" t="n">
        <v>315.2</v>
      </c>
      <c r="E9" t="n">
        <v>13</v>
      </c>
      <c r="F9" t="n">
        <v>3916.9</v>
      </c>
      <c r="G9" t="n">
        <v>4097.6</v>
      </c>
      <c r="H9" s="3" t="n">
        <v>180.7</v>
      </c>
      <c r="I9" s="3" t="n">
        <v>4.61</v>
      </c>
      <c r="J9" t="n">
        <v>292.26</v>
      </c>
      <c r="K9" t="inlineStr">
        <is>
          <t>TIGHT</t>
        </is>
      </c>
      <c r="L9" t="n">
        <v>10</v>
      </c>
      <c r="M9" t="n">
        <v>6.73</v>
      </c>
      <c r="N9" t="n">
        <v>5</v>
      </c>
      <c r="O9" t="inlineStr">
        <is>
          <t>↓</t>
        </is>
      </c>
      <c r="P9" t="n">
        <v>0</v>
      </c>
      <c r="Q9" t="inlineStr">
        <is>
          <t>New Age Tech</t>
        </is>
      </c>
      <c r="R9" t="inlineStr">
        <is>
          <t>ACCUMULATE 💚</t>
        </is>
      </c>
      <c r="S9" t="n">
        <v>6.22</v>
      </c>
      <c r="U9" t="inlineStr">
        <is>
          <t>https://www.google.com/finance/quote/NYKAA:NSE</t>
        </is>
      </c>
    </row>
    <row r="10" ht="15" customHeight="1">
      <c r="A10" t="inlineStr">
        <is>
          <t>CARTRADE</t>
        </is>
      </c>
      <c r="B10" t="inlineStr">
        <is>
          <t>2026-06-30</t>
        </is>
      </c>
      <c r="C10" t="n">
        <v>2665</v>
      </c>
      <c r="D10" t="n">
        <v>2783.4</v>
      </c>
      <c r="E10" t="n">
        <v>1</v>
      </c>
      <c r="F10" t="n">
        <v>2665</v>
      </c>
      <c r="G10" t="n">
        <v>2783.4</v>
      </c>
      <c r="H10" s="3" t="n">
        <v>118.4</v>
      </c>
      <c r="I10" s="3" t="n">
        <v>4.44</v>
      </c>
      <c r="J10" t="n">
        <v>2585.05</v>
      </c>
      <c r="K10" t="inlineStr">
        <is>
          <t>TIGHT</t>
        </is>
      </c>
      <c r="L10" t="n">
        <v>9</v>
      </c>
      <c r="M10" t="n">
        <v>6.69</v>
      </c>
      <c r="N10" t="n">
        <v>5.85</v>
      </c>
      <c r="O10" t="inlineStr">
        <is>
          <t>↑</t>
        </is>
      </c>
      <c r="P10" t="n">
        <v>1</v>
      </c>
      <c r="Q10" t="inlineStr">
        <is>
          <t>New Age Tech</t>
        </is>
      </c>
      <c r="R10" t="inlineStr">
        <is>
          <t>ACCUMULATE 💚</t>
        </is>
      </c>
      <c r="S10" t="n">
        <v>6.15</v>
      </c>
      <c r="U10" t="inlineStr">
        <is>
          <t>https://www.google.com/finance/quote/CARTRADE:NSE</t>
        </is>
      </c>
    </row>
    <row r="11" ht="15" customHeight="1">
      <c r="A11" t="inlineStr">
        <is>
          <t>HDFCBANK</t>
        </is>
      </c>
      <c r="B11" t="inlineStr">
        <is>
          <t>2026-07-01</t>
        </is>
      </c>
      <c r="C11" t="n">
        <v>793.5</v>
      </c>
      <c r="D11" t="n">
        <v>829.3</v>
      </c>
      <c r="E11" t="n">
        <v>5</v>
      </c>
      <c r="F11" t="n">
        <v>3967.5</v>
      </c>
      <c r="G11" t="n">
        <v>4146.5</v>
      </c>
      <c r="H11" s="3" t="n">
        <v>179</v>
      </c>
      <c r="I11" s="3" t="n">
        <v>4.51</v>
      </c>
      <c r="J11" t="n">
        <v>769.6900000000001</v>
      </c>
      <c r="K11" t="inlineStr">
        <is>
          <t>TIGHT</t>
        </is>
      </c>
      <c r="L11" t="n">
        <v>8</v>
      </c>
      <c r="M11" t="n">
        <v>6.85</v>
      </c>
      <c r="N11" t="n">
        <v>6.95</v>
      </c>
      <c r="O11" t="inlineStr">
        <is>
          <t>↓</t>
        </is>
      </c>
      <c r="P11" t="n">
        <v>0</v>
      </c>
      <c r="Q11" t="inlineStr">
        <is>
          <t>Financial Services</t>
        </is>
      </c>
      <c r="R11" t="inlineStr">
        <is>
          <t>ACCUMULATE 💚</t>
        </is>
      </c>
      <c r="S11" t="n">
        <v>7.3</v>
      </c>
      <c r="U11" t="inlineStr">
        <is>
          <t>https://www.google.com/finance/quote/HDFCBANK:NSE</t>
        </is>
      </c>
    </row>
    <row r="12" ht="15" customHeight="1">
      <c r="A12" t="inlineStr">
        <is>
          <t>PHOENIXLTD</t>
        </is>
      </c>
      <c r="B12" t="inlineStr">
        <is>
          <t>2026-07-01</t>
        </is>
      </c>
      <c r="C12" t="n">
        <v>1964</v>
      </c>
      <c r="D12" t="n">
        <v>2075.1</v>
      </c>
      <c r="E12" t="n">
        <v>1</v>
      </c>
      <c r="F12" t="n">
        <v>1964</v>
      </c>
      <c r="G12" t="n">
        <v>2075.1</v>
      </c>
      <c r="H12" s="3" t="n">
        <v>111.1</v>
      </c>
      <c r="I12" s="3" t="n">
        <v>5.66</v>
      </c>
      <c r="J12" t="n">
        <v>1905.08</v>
      </c>
      <c r="K12" t="inlineStr">
        <is>
          <t>TIGHT</t>
        </is>
      </c>
      <c r="L12" t="n">
        <v>8</v>
      </c>
      <c r="M12" t="n">
        <v>6.21</v>
      </c>
      <c r="N12" t="n">
        <v>6.35</v>
      </c>
      <c r="O12" t="inlineStr">
        <is>
          <t>↑</t>
        </is>
      </c>
      <c r="P12" t="n">
        <v>1</v>
      </c>
      <c r="Q12" t="inlineStr">
        <is>
          <t>Real Estate</t>
        </is>
      </c>
      <c r="R12" t="inlineStr">
        <is>
          <t>HOLD ⚖️</t>
        </is>
      </c>
      <c r="S12" t="n">
        <v>6.67</v>
      </c>
      <c r="U12" t="inlineStr">
        <is>
          <t>https://www.google.com/finance/quote/PHOENIXLTD:NSE</t>
        </is>
      </c>
    </row>
    <row r="13" ht="15" customHeight="1">
      <c r="A13" t="inlineStr">
        <is>
          <t>HINDUNILVR</t>
        </is>
      </c>
      <c r="B13" t="inlineStr">
        <is>
          <t>2026-07-02</t>
        </is>
      </c>
      <c r="C13" t="n">
        <v>2186</v>
      </c>
      <c r="D13" t="n">
        <v>2208.8</v>
      </c>
      <c r="E13" t="n">
        <v>1</v>
      </c>
      <c r="F13" t="n">
        <v>2186</v>
      </c>
      <c r="G13" t="n">
        <v>2208.8</v>
      </c>
      <c r="H13" s="3" t="n">
        <v>22.8</v>
      </c>
      <c r="I13" s="3" t="n">
        <v>1.04</v>
      </c>
      <c r="J13" t="n">
        <v>2032.98</v>
      </c>
      <c r="K13" t="inlineStr">
        <is>
          <t>RISK</t>
        </is>
      </c>
      <c r="L13" t="n">
        <v>7</v>
      </c>
      <c r="M13" t="n">
        <v>6.4</v>
      </c>
      <c r="N13" t="n">
        <v>6.45</v>
      </c>
      <c r="O13" t="inlineStr">
        <is>
          <t>↓</t>
        </is>
      </c>
      <c r="P13" t="n">
        <v>0</v>
      </c>
      <c r="Q13" t="inlineStr">
        <is>
          <t>Consumer Staples</t>
        </is>
      </c>
      <c r="R13" t="inlineStr">
        <is>
          <t>HOLD ⚖️</t>
        </is>
      </c>
      <c r="S13" t="n">
        <v>6.35</v>
      </c>
      <c r="U13" t="inlineStr">
        <is>
          <t>https://www.google.com/finance/quote/HINDUNILVR:NSE</t>
        </is>
      </c>
    </row>
    <row r="14" ht="15" customHeight="1">
      <c r="A14" t="inlineStr">
        <is>
          <t>PAYTM</t>
        </is>
      </c>
      <c r="B14" t="inlineStr">
        <is>
          <t>2026-07-02</t>
        </is>
      </c>
      <c r="C14" t="n">
        <v>1209</v>
      </c>
      <c r="D14" t="n">
        <v>1246</v>
      </c>
      <c r="E14" t="n">
        <v>2</v>
      </c>
      <c r="F14" t="n">
        <v>2418</v>
      </c>
      <c r="G14" t="n">
        <v>2492</v>
      </c>
      <c r="H14" s="3" t="n">
        <v>74</v>
      </c>
      <c r="I14" s="3" t="n">
        <v>3.06</v>
      </c>
      <c r="J14" t="n">
        <v>1172.73</v>
      </c>
      <c r="K14" t="inlineStr">
        <is>
          <t>TIGHT</t>
        </is>
      </c>
      <c r="L14" t="n">
        <v>7</v>
      </c>
      <c r="M14" t="n">
        <v>6.01</v>
      </c>
      <c r="N14" t="n">
        <v>5.6</v>
      </c>
      <c r="O14" t="inlineStr">
        <is>
          <t>↓</t>
        </is>
      </c>
      <c r="P14" t="n">
        <v>0</v>
      </c>
      <c r="Q14" t="inlineStr">
        <is>
          <t>New Age Tech</t>
        </is>
      </c>
      <c r="R14" t="inlineStr">
        <is>
          <t>HOLD ⚖️</t>
        </is>
      </c>
      <c r="S14" t="n">
        <v>6.77</v>
      </c>
      <c r="U14" t="inlineStr">
        <is>
          <t>https://www.google.com/finance/quote/PAYTM:NSE</t>
        </is>
      </c>
    </row>
    <row r="15" ht="15" customHeight="1">
      <c r="A15" t="inlineStr">
        <is>
          <t>LUPIN</t>
        </is>
      </c>
      <c r="B15" t="inlineStr">
        <is>
          <t>2026-07-04</t>
        </is>
      </c>
      <c r="C15" t="n">
        <v>2420</v>
      </c>
      <c r="D15" t="n">
        <v>2490.2</v>
      </c>
      <c r="E15" t="n">
        <v>2</v>
      </c>
      <c r="F15" t="n">
        <v>4840</v>
      </c>
      <c r="G15" t="n">
        <v>4980.4</v>
      </c>
      <c r="H15" s="3" t="n">
        <v>140.4</v>
      </c>
      <c r="I15" s="3" t="n">
        <v>2.9</v>
      </c>
      <c r="J15" t="n">
        <v>2347.4</v>
      </c>
      <c r="K15" t="inlineStr">
        <is>
          <t>TIGHT</t>
        </is>
      </c>
      <c r="L15" t="n">
        <v>5</v>
      </c>
      <c r="M15" t="n">
        <v>6.8</v>
      </c>
      <c r="N15" t="n">
        <v>6.65</v>
      </c>
      <c r="O15" t="inlineStr">
        <is>
          <t>↑</t>
        </is>
      </c>
      <c r="P15" t="n">
        <v>1</v>
      </c>
      <c r="Q15" t="inlineStr">
        <is>
          <t>Healthcare</t>
        </is>
      </c>
      <c r="R15" t="inlineStr">
        <is>
          <t>ACCUMULATE 💚</t>
        </is>
      </c>
      <c r="S15" t="n">
        <v>6.48</v>
      </c>
      <c r="U15" t="inlineStr">
        <is>
          <t>https://www.google.com/finance/quote/LUPIN:NSE</t>
        </is>
      </c>
    </row>
    <row r="16" ht="15" customHeight="1">
      <c r="A16" t="inlineStr">
        <is>
          <t>BHARTIARTL</t>
        </is>
      </c>
      <c r="B16" t="inlineStr">
        <is>
          <t>2026-07-04</t>
        </is>
      </c>
      <c r="C16" t="n">
        <v>1890</v>
      </c>
      <c r="D16" t="n">
        <v>1925.8</v>
      </c>
      <c r="E16" t="n">
        <v>2</v>
      </c>
      <c r="F16" t="n">
        <v>3780</v>
      </c>
      <c r="G16" t="n">
        <v>3851.6</v>
      </c>
      <c r="H16" s="3" t="n">
        <v>71.59999999999999</v>
      </c>
      <c r="I16" s="3" t="n">
        <v>1.89</v>
      </c>
      <c r="J16" t="n">
        <v>1833.3</v>
      </c>
      <c r="K16" t="inlineStr">
        <is>
          <t>TIGHT</t>
        </is>
      </c>
      <c r="L16" t="n">
        <v>5</v>
      </c>
      <c r="M16" t="n">
        <v>6.73</v>
      </c>
      <c r="N16" t="n">
        <v>6.3</v>
      </c>
      <c r="O16" t="inlineStr">
        <is>
          <t>↑</t>
        </is>
      </c>
      <c r="P16" t="n">
        <v>1</v>
      </c>
      <c r="Q16" t="inlineStr">
        <is>
          <t>Telecom</t>
        </is>
      </c>
      <c r="R16" t="inlineStr">
        <is>
          <t>ACCUMULATE 💚</t>
        </is>
      </c>
      <c r="S16" t="n">
        <v>6.25</v>
      </c>
      <c r="U16" t="inlineStr">
        <is>
          <t>https://www.google.com/finance/quote/BHARTIARTL:NSE</t>
        </is>
      </c>
    </row>
    <row r="17" ht="15" customHeight="1">
      <c r="A17" t="inlineStr">
        <is>
          <t>NESTLEIND</t>
        </is>
      </c>
      <c r="B17" t="inlineStr">
        <is>
          <t>2026-07-06</t>
        </is>
      </c>
      <c r="C17" t="n">
        <v>1457.1</v>
      </c>
      <c r="D17" t="n">
        <v>1471.8</v>
      </c>
      <c r="E17" t="n">
        <v>1</v>
      </c>
      <c r="F17" t="n">
        <v>1457.1</v>
      </c>
      <c r="G17" t="n">
        <v>1471.8</v>
      </c>
      <c r="H17" s="3" t="n">
        <v>14.7</v>
      </c>
      <c r="I17" s="3" t="n">
        <v>1.01</v>
      </c>
      <c r="J17" t="n">
        <v>1413.39</v>
      </c>
      <c r="K17" t="inlineStr">
        <is>
          <t>TIGHT</t>
        </is>
      </c>
      <c r="L17" t="n">
        <v>3</v>
      </c>
      <c r="M17" t="n">
        <v>7</v>
      </c>
      <c r="N17" t="n">
        <v>7</v>
      </c>
      <c r="O17" t="inlineStr">
        <is>
          <t>—</t>
        </is>
      </c>
      <c r="P17" t="n">
        <v>0</v>
      </c>
      <c r="Q17" t="inlineStr">
        <is>
          <t>Consumer Staples</t>
        </is>
      </c>
      <c r="R17" t="inlineStr">
        <is>
          <t>ACCUMULATE 💚</t>
        </is>
      </c>
      <c r="S17" t="n">
        <v>6.62</v>
      </c>
      <c r="U17" t="inlineStr">
        <is>
          <t>https://www.google.com/finance/quote/NESTLEIND:NSE</t>
        </is>
      </c>
    </row>
    <row r="18" ht="15" customHeight="1">
      <c r="A18" t="inlineStr">
        <is>
          <t>DHANUKA</t>
        </is>
      </c>
      <c r="B18" t="inlineStr">
        <is>
          <t>2026-07-06</t>
        </is>
      </c>
      <c r="C18" t="n">
        <v>1095</v>
      </c>
      <c r="D18" t="n">
        <v>1073.1</v>
      </c>
      <c r="E18" t="n">
        <v>1</v>
      </c>
      <c r="F18" t="n">
        <v>1095</v>
      </c>
      <c r="G18" t="n">
        <v>1073.1</v>
      </c>
      <c r="H18" s="4" t="n">
        <v>-21.9</v>
      </c>
      <c r="I18" s="4" t="n">
        <v>-2</v>
      </c>
      <c r="J18" t="n">
        <v>1062.15</v>
      </c>
      <c r="K18" t="inlineStr">
        <is>
          <t>TIGHT</t>
        </is>
      </c>
      <c r="L18" t="n">
        <v>3</v>
      </c>
      <c r="M18" t="n">
        <v>6.55</v>
      </c>
      <c r="N18" t="n">
        <v>6.55</v>
      </c>
      <c r="O18" t="inlineStr">
        <is>
          <t>—</t>
        </is>
      </c>
      <c r="P18" t="n">
        <v>0</v>
      </c>
      <c r="Q18" t="inlineStr">
        <is>
          <t>Agriculture</t>
        </is>
      </c>
      <c r="R18" t="inlineStr">
        <is>
          <t>ACCUMULATE 💚</t>
        </is>
      </c>
      <c r="S18" t="n">
        <v>6.05</v>
      </c>
      <c r="U18" t="inlineStr">
        <is>
          <t>https://www.google.com/finance/quote/DHANUKA:NSE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2" customWidth="1" min="1" max="3"/>
    <col width="9" customWidth="1" min="4" max="4"/>
    <col width="8" customWidth="1" min="5" max="6"/>
    <col width="12" customWidth="1" min="7" max="8"/>
    <col width="16" customWidth="1" min="9" max="9"/>
    <col width="10" customWidth="1" min="10" max="10"/>
    <col width="13" customWidth="1" min="11" max="11"/>
    <col width="11" customWidth="1" min="12" max="12"/>
    <col width="13" customWidth="1" min="13" max="13"/>
    <col width="12" customWidth="1" min="14" max="14"/>
    <col width="23" customWidth="1" min="15" max="15"/>
    <col width="10" customWidth="1" min="16" max="16"/>
  </cols>
  <sheetData>
    <row r="1" ht="15" customHeight="1">
      <c r="A1" s="1" t="inlineStr">
        <is>
          <t>Symbol</t>
        </is>
      </c>
      <c r="B1" s="1" t="inlineStr">
        <is>
          <t>Buy Date</t>
        </is>
      </c>
      <c r="C1" s="1" t="inlineStr">
        <is>
          <t>Sell Date</t>
        </is>
      </c>
      <c r="D1" s="1" t="inlineStr">
        <is>
          <t>Entry ₹</t>
        </is>
      </c>
      <c r="E1" s="1" t="inlineStr">
        <is>
          <t>Exit ₹</t>
        </is>
      </c>
      <c r="F1" s="1" t="inlineStr">
        <is>
          <t>Qty</t>
        </is>
      </c>
      <c r="G1" s="1" t="inlineStr">
        <is>
          <t>Invested ₹</t>
        </is>
      </c>
      <c r="H1" s="1" t="inlineStr">
        <is>
          <t>Proceeds ₹</t>
        </is>
      </c>
      <c r="I1" s="1" t="inlineStr">
        <is>
          <t>Realised P&amp;L ₹</t>
        </is>
      </c>
      <c r="J1" s="1" t="inlineStr">
        <is>
          <t>Return %</t>
        </is>
      </c>
      <c r="K1" s="1" t="inlineStr">
        <is>
          <t>Sell Reason</t>
        </is>
      </c>
      <c r="L1" s="1" t="inlineStr">
        <is>
          <t>Days Held</t>
        </is>
      </c>
      <c r="M1" s="1" t="inlineStr">
        <is>
          <t>Entry Score</t>
        </is>
      </c>
      <c r="N1" s="1" t="inlineStr">
        <is>
          <t>Exit Score</t>
        </is>
      </c>
      <c r="O1" s="1" t="inlineStr">
        <is>
          <t>Sector</t>
        </is>
      </c>
      <c r="P1" s="1" t="inlineStr">
        <is>
          <t>Win/Loss</t>
        </is>
      </c>
    </row>
    <row r="2" ht="15" customHeight="1">
      <c r="A2" t="inlineStr">
        <is>
          <t>PHOENIXLTD</t>
        </is>
      </c>
      <c r="B2" t="inlineStr">
        <is>
          <t>2026-06-18</t>
        </is>
      </c>
      <c r="C2" t="inlineStr">
        <is>
          <t>2026-06-18</t>
        </is>
      </c>
      <c r="D2" t="n">
        <v>1879.1</v>
      </c>
      <c r="E2" t="n">
        <v>1853.7</v>
      </c>
      <c r="F2" t="n">
        <v>3</v>
      </c>
      <c r="G2" t="n">
        <v>5637.3</v>
      </c>
      <c r="H2" t="n">
        <v>5561.1</v>
      </c>
      <c r="I2" s="4" t="n">
        <v>-76.2</v>
      </c>
      <c r="J2" s="4" t="n">
        <v>-1.35</v>
      </c>
      <c r="K2" t="inlineStr">
        <is>
          <t>SELL-STOP</t>
        </is>
      </c>
      <c r="L2" t="n">
        <v>1</v>
      </c>
      <c r="M2" t="n">
        <v>6.15</v>
      </c>
      <c r="N2" t="n">
        <v>6.15</v>
      </c>
      <c r="O2" t="inlineStr">
        <is>
          <t>Real Estate</t>
        </is>
      </c>
      <c r="P2" t="inlineStr">
        <is>
          <t>❌ LOSS</t>
        </is>
      </c>
    </row>
    <row r="3" ht="15" customHeight="1">
      <c r="A3" t="inlineStr">
        <is>
          <t>CARTRADE</t>
        </is>
      </c>
      <c r="B3" t="inlineStr">
        <is>
          <t>2026-06-19</t>
        </is>
      </c>
      <c r="C3" t="inlineStr">
        <is>
          <t>2026-06-19</t>
        </is>
      </c>
      <c r="D3" t="n">
        <v>2574.1</v>
      </c>
      <c r="E3" t="n">
        <v>2558.6</v>
      </c>
      <c r="F3" t="n">
        <v>1</v>
      </c>
      <c r="G3" t="n">
        <v>2574.1</v>
      </c>
      <c r="H3" t="n">
        <v>2558.6</v>
      </c>
      <c r="I3" s="4" t="n">
        <v>-15.5</v>
      </c>
      <c r="J3" s="4" t="n">
        <v>-0.6</v>
      </c>
      <c r="K3" t="inlineStr">
        <is>
          <t>SELL-STOP</t>
        </is>
      </c>
      <c r="L3" t="n">
        <v>1</v>
      </c>
      <c r="M3" t="n">
        <v>6.65</v>
      </c>
      <c r="N3" t="n">
        <v>6.65</v>
      </c>
      <c r="O3" t="inlineStr">
        <is>
          <t>New Age Tech</t>
        </is>
      </c>
      <c r="P3" t="inlineStr">
        <is>
          <t>❌ LOSS</t>
        </is>
      </c>
    </row>
    <row r="4" ht="15" customHeight="1">
      <c r="A4" t="inlineStr">
        <is>
          <t>PHOENIXLTD</t>
        </is>
      </c>
      <c r="B4" t="inlineStr">
        <is>
          <t>2026-06-22</t>
        </is>
      </c>
      <c r="C4" t="inlineStr">
        <is>
          <t>2026-06-22</t>
        </is>
      </c>
      <c r="D4" t="n">
        <v>1890.4</v>
      </c>
      <c r="E4" t="n">
        <v>1871.1</v>
      </c>
      <c r="F4" t="n">
        <v>1</v>
      </c>
      <c r="G4" t="n">
        <v>1890.4</v>
      </c>
      <c r="H4" t="n">
        <v>1871.1</v>
      </c>
      <c r="I4" s="4" t="n">
        <v>-19.3</v>
      </c>
      <c r="J4" s="4" t="n">
        <v>-1.02</v>
      </c>
      <c r="K4" t="inlineStr">
        <is>
          <t>SELL-STOP</t>
        </is>
      </c>
      <c r="L4" t="n">
        <v>1</v>
      </c>
      <c r="M4" t="n">
        <v>6.2</v>
      </c>
      <c r="N4" t="n">
        <v>6.2</v>
      </c>
      <c r="O4" t="inlineStr">
        <is>
          <t>Real Estate</t>
        </is>
      </c>
      <c r="P4" t="inlineStr">
        <is>
          <t>❌ LOSS</t>
        </is>
      </c>
    </row>
    <row r="5" ht="15" customHeight="1">
      <c r="A5" t="inlineStr">
        <is>
          <t>SBIN</t>
        </is>
      </c>
      <c r="B5" t="inlineStr">
        <is>
          <t>2026-06-18</t>
        </is>
      </c>
      <c r="C5" t="inlineStr">
        <is>
          <t>2026-06-23</t>
        </is>
      </c>
      <c r="D5" t="n">
        <v>1027.9</v>
      </c>
      <c r="E5" t="n">
        <v>1024.2</v>
      </c>
      <c r="F5" t="n">
        <v>8</v>
      </c>
      <c r="G5" t="n">
        <v>8223.200000000001</v>
      </c>
      <c r="H5" t="n">
        <v>8193.6</v>
      </c>
      <c r="I5" s="4" t="n">
        <v>-29.6</v>
      </c>
      <c r="J5" s="4" t="n">
        <v>-0.36</v>
      </c>
      <c r="K5" t="inlineStr">
        <is>
          <t>SELL-STOP</t>
        </is>
      </c>
      <c r="L5" t="n">
        <v>6</v>
      </c>
      <c r="M5" t="n">
        <v>6.8</v>
      </c>
      <c r="N5" t="n">
        <v>7.03</v>
      </c>
      <c r="O5" t="inlineStr">
        <is>
          <t>Financial Services</t>
        </is>
      </c>
      <c r="P5" t="inlineStr">
        <is>
          <t>❌ LOSS</t>
        </is>
      </c>
    </row>
    <row r="6" ht="15" customHeight="1">
      <c r="A6" t="inlineStr">
        <is>
          <t>DLF</t>
        </is>
      </c>
      <c r="B6" t="inlineStr">
        <is>
          <t>2026-06-18</t>
        </is>
      </c>
      <c r="C6" t="inlineStr">
        <is>
          <t>2026-06-23</t>
        </is>
      </c>
      <c r="D6" t="n">
        <v>623.55</v>
      </c>
      <c r="E6" t="n">
        <v>612.35</v>
      </c>
      <c r="F6" t="n">
        <v>11</v>
      </c>
      <c r="G6" t="n">
        <v>6859.05</v>
      </c>
      <c r="H6" t="n">
        <v>6735.85</v>
      </c>
      <c r="I6" s="4" t="n">
        <v>-123.2</v>
      </c>
      <c r="J6" s="4" t="n">
        <v>-1.8</v>
      </c>
      <c r="K6" t="inlineStr">
        <is>
          <t>SELL-STOP</t>
        </is>
      </c>
      <c r="L6" t="n">
        <v>6</v>
      </c>
      <c r="M6" t="n">
        <v>6.12</v>
      </c>
      <c r="N6" t="n">
        <v>6.01</v>
      </c>
      <c r="O6" t="inlineStr">
        <is>
          <t>Real Estate</t>
        </is>
      </c>
      <c r="P6" t="inlineStr">
        <is>
          <t>❌ LOSS</t>
        </is>
      </c>
    </row>
    <row r="7" ht="15" customHeight="1">
      <c r="A7" t="inlineStr">
        <is>
          <t>ICICIBANK</t>
        </is>
      </c>
      <c r="B7" t="inlineStr">
        <is>
          <t>2026-06-19</t>
        </is>
      </c>
      <c r="C7" t="inlineStr">
        <is>
          <t>2026-06-23</t>
        </is>
      </c>
      <c r="D7" t="n">
        <v>1340.5</v>
      </c>
      <c r="E7" t="n">
        <v>1338.3</v>
      </c>
      <c r="F7" t="n">
        <v>3</v>
      </c>
      <c r="G7" t="n">
        <v>4021.5</v>
      </c>
      <c r="H7" t="n">
        <v>4014.9</v>
      </c>
      <c r="I7" s="4" t="n">
        <v>-6.6</v>
      </c>
      <c r="J7" s="4" t="n">
        <v>-0.16</v>
      </c>
      <c r="K7" t="inlineStr">
        <is>
          <t>SELL-STOP</t>
        </is>
      </c>
      <c r="L7" t="n">
        <v>5</v>
      </c>
      <c r="M7" t="n">
        <v>6.5</v>
      </c>
      <c r="N7" t="n">
        <v>6.7</v>
      </c>
      <c r="O7" t="inlineStr">
        <is>
          <t>Financial Services</t>
        </is>
      </c>
      <c r="P7" t="inlineStr">
        <is>
          <t>❌ LOSS</t>
        </is>
      </c>
    </row>
    <row r="8" ht="15" customHeight="1">
      <c r="A8" t="inlineStr">
        <is>
          <t>LT</t>
        </is>
      </c>
      <c r="B8" t="inlineStr">
        <is>
          <t>2026-06-19</t>
        </is>
      </c>
      <c r="C8" t="inlineStr">
        <is>
          <t>2026-06-23</t>
        </is>
      </c>
      <c r="D8" t="n">
        <v>4190</v>
      </c>
      <c r="E8" t="n">
        <v>4179.4</v>
      </c>
      <c r="F8" t="n">
        <v>1</v>
      </c>
      <c r="G8" t="n">
        <v>4190</v>
      </c>
      <c r="H8" t="n">
        <v>4179.4</v>
      </c>
      <c r="I8" s="4" t="n">
        <v>-10.6</v>
      </c>
      <c r="J8" s="4" t="n">
        <v>-0.25</v>
      </c>
      <c r="K8" t="inlineStr">
        <is>
          <t>SELL-STOP</t>
        </is>
      </c>
      <c r="L8" t="n">
        <v>5</v>
      </c>
      <c r="M8" t="n">
        <v>6.1</v>
      </c>
      <c r="N8" t="n">
        <v>6.05</v>
      </c>
      <c r="O8" t="inlineStr">
        <is>
          <t>Industrials</t>
        </is>
      </c>
      <c r="P8" t="inlineStr">
        <is>
          <t>❌ LOSS</t>
        </is>
      </c>
    </row>
    <row r="9" ht="15" customHeight="1">
      <c r="A9" t="inlineStr">
        <is>
          <t>HFCL</t>
        </is>
      </c>
      <c r="B9" t="inlineStr">
        <is>
          <t>2026-06-19</t>
        </is>
      </c>
      <c r="C9" t="inlineStr">
        <is>
          <t>2026-06-23</t>
        </is>
      </c>
      <c r="D9" t="n">
        <v>206.99</v>
      </c>
      <c r="E9" t="n">
        <v>202.29</v>
      </c>
      <c r="F9" t="n">
        <v>21</v>
      </c>
      <c r="G9" t="n">
        <v>4346.79</v>
      </c>
      <c r="H9" t="n">
        <v>4248.09</v>
      </c>
      <c r="I9" s="4" t="n">
        <v>-98.7</v>
      </c>
      <c r="J9" s="4" t="n">
        <v>-2.27</v>
      </c>
      <c r="K9" t="inlineStr">
        <is>
          <t>SELL-STOP</t>
        </is>
      </c>
      <c r="L9" t="n">
        <v>5</v>
      </c>
      <c r="M9" t="n">
        <v>6.1</v>
      </c>
      <c r="N9" t="n">
        <v>6.71</v>
      </c>
      <c r="O9" t="inlineStr">
        <is>
          <t>Telecom</t>
        </is>
      </c>
      <c r="P9" t="inlineStr">
        <is>
          <t>❌ LOSS</t>
        </is>
      </c>
    </row>
    <row r="10" ht="15" customHeight="1">
      <c r="A10" t="inlineStr">
        <is>
          <t>ZEEL</t>
        </is>
      </c>
      <c r="B10" t="inlineStr">
        <is>
          <t>2026-06-23</t>
        </is>
      </c>
      <c r="C10" t="inlineStr">
        <is>
          <t>2026-06-23</t>
        </is>
      </c>
      <c r="D10" t="n">
        <v>116.49</v>
      </c>
      <c r="E10" t="n">
        <v>114.86</v>
      </c>
      <c r="F10" t="n">
        <v>26</v>
      </c>
      <c r="G10" t="n">
        <v>3028.74</v>
      </c>
      <c r="H10" t="n">
        <v>2986.36</v>
      </c>
      <c r="I10" s="4" t="n">
        <v>-42.38</v>
      </c>
      <c r="J10" s="4" t="n">
        <v>-1.4</v>
      </c>
      <c r="K10" t="inlineStr">
        <is>
          <t>SELL-STOP</t>
        </is>
      </c>
      <c r="L10" t="n">
        <v>1</v>
      </c>
      <c r="M10" t="n">
        <v>6.49</v>
      </c>
      <c r="N10" t="n">
        <v>6.49</v>
      </c>
      <c r="O10" t="inlineStr">
        <is>
          <t>Media &amp; Entertainment</t>
        </is>
      </c>
      <c r="P10" t="inlineStr">
        <is>
          <t>❌ LOSS</t>
        </is>
      </c>
    </row>
    <row r="11" ht="15" customHeight="1">
      <c r="A11" t="inlineStr">
        <is>
          <t>POLICYBZR</t>
        </is>
      </c>
      <c r="B11" t="inlineStr">
        <is>
          <t>2026-06-23</t>
        </is>
      </c>
      <c r="C11" t="inlineStr">
        <is>
          <t>2026-06-23</t>
        </is>
      </c>
      <c r="D11" t="n">
        <v>1662.1</v>
      </c>
      <c r="E11" t="n">
        <v>1622.4</v>
      </c>
      <c r="F11" t="n">
        <v>1</v>
      </c>
      <c r="G11" t="n">
        <v>1662.1</v>
      </c>
      <c r="H11" t="n">
        <v>1622.4</v>
      </c>
      <c r="I11" s="4" t="n">
        <v>-39.7</v>
      </c>
      <c r="J11" s="4" t="n">
        <v>-2.39</v>
      </c>
      <c r="K11" t="inlineStr">
        <is>
          <t>SELL-STOP</t>
        </is>
      </c>
      <c r="L11" t="n">
        <v>1</v>
      </c>
      <c r="M11" t="n">
        <v>6.35</v>
      </c>
      <c r="N11" t="n">
        <v>6.35</v>
      </c>
      <c r="O11" t="inlineStr">
        <is>
          <t>New Age Tech</t>
        </is>
      </c>
      <c r="P11" t="inlineStr">
        <is>
          <t>❌ LOSS</t>
        </is>
      </c>
    </row>
    <row r="12" ht="15" customHeight="1">
      <c r="A12" t="inlineStr">
        <is>
          <t>PHOENIXLTD</t>
        </is>
      </c>
      <c r="B12" t="inlineStr">
        <is>
          <t>2026-06-23</t>
        </is>
      </c>
      <c r="C12" t="inlineStr">
        <is>
          <t>2026-06-23</t>
        </is>
      </c>
      <c r="D12" t="n">
        <v>1879.8</v>
      </c>
      <c r="E12" t="n">
        <v>1851.6</v>
      </c>
      <c r="F12" t="n">
        <v>1</v>
      </c>
      <c r="G12" t="n">
        <v>1879.8</v>
      </c>
      <c r="H12" t="n">
        <v>1851.6</v>
      </c>
      <c r="I12" s="4" t="n">
        <v>-28.2</v>
      </c>
      <c r="J12" s="4" t="n">
        <v>-1.5</v>
      </c>
      <c r="K12" t="inlineStr">
        <is>
          <t>SELL-STOP</t>
        </is>
      </c>
      <c r="L12" t="n">
        <v>1</v>
      </c>
      <c r="M12" t="n">
        <v>6.28</v>
      </c>
      <c r="N12" t="n">
        <v>6.28</v>
      </c>
      <c r="O12" t="inlineStr">
        <is>
          <t>Real Estate</t>
        </is>
      </c>
      <c r="P12" t="inlineStr">
        <is>
          <t>❌ LOSS</t>
        </is>
      </c>
    </row>
    <row r="13" ht="15" customHeight="1">
      <c r="A13" t="inlineStr">
        <is>
          <t>IDEA</t>
        </is>
      </c>
      <c r="B13" t="inlineStr">
        <is>
          <t>2026-06-23</t>
        </is>
      </c>
      <c r="C13" t="inlineStr">
        <is>
          <t>2026-06-23</t>
        </is>
      </c>
      <c r="D13" t="n">
        <v>14.84</v>
      </c>
      <c r="E13" t="n">
        <v>14.45</v>
      </c>
      <c r="F13" t="n">
        <v>198</v>
      </c>
      <c r="G13" t="n">
        <v>2938.32</v>
      </c>
      <c r="H13" t="n">
        <v>2861.1</v>
      </c>
      <c r="I13" s="4" t="n">
        <v>-77.22</v>
      </c>
      <c r="J13" s="4" t="n">
        <v>-2.63</v>
      </c>
      <c r="K13" t="inlineStr">
        <is>
          <t>SELL-STOP</t>
        </is>
      </c>
      <c r="L13" t="n">
        <v>1</v>
      </c>
      <c r="M13" t="n">
        <v>6.23</v>
      </c>
      <c r="N13" t="n">
        <v>6.23</v>
      </c>
      <c r="O13" t="inlineStr">
        <is>
          <t>Telecom</t>
        </is>
      </c>
      <c r="P13" t="inlineStr">
        <is>
          <t>❌ LOSS</t>
        </is>
      </c>
    </row>
    <row r="14" ht="15" customHeight="1">
      <c r="A14" t="inlineStr">
        <is>
          <t>CARTRADE</t>
        </is>
      </c>
      <c r="B14" t="inlineStr">
        <is>
          <t>2026-06-24</t>
        </is>
      </c>
      <c r="C14" t="inlineStr">
        <is>
          <t>2026-06-24</t>
        </is>
      </c>
      <c r="D14" t="n">
        <v>2655</v>
      </c>
      <c r="E14" t="n">
        <v>2603.7</v>
      </c>
      <c r="F14" t="n">
        <v>1</v>
      </c>
      <c r="G14" t="n">
        <v>2655</v>
      </c>
      <c r="H14" t="n">
        <v>2603.7</v>
      </c>
      <c r="I14" s="4" t="n">
        <v>-51.3</v>
      </c>
      <c r="J14" s="4" t="n">
        <v>-1.93</v>
      </c>
      <c r="K14" t="inlineStr">
        <is>
          <t>SELL-STOP</t>
        </is>
      </c>
      <c r="L14" t="n">
        <v>1</v>
      </c>
      <c r="M14" t="n">
        <v>6.55</v>
      </c>
      <c r="N14" t="n">
        <v>6.55</v>
      </c>
      <c r="O14" t="inlineStr">
        <is>
          <t>New Age Tech</t>
        </is>
      </c>
      <c r="P14" t="inlineStr">
        <is>
          <t>❌ LOSS</t>
        </is>
      </c>
    </row>
    <row r="15" ht="15" customHeight="1">
      <c r="A15" t="inlineStr">
        <is>
          <t>NYKAA</t>
        </is>
      </c>
      <c r="B15" t="inlineStr">
        <is>
          <t>2026-06-22</t>
        </is>
      </c>
      <c r="C15" t="inlineStr">
        <is>
          <t>2026-06-25</t>
        </is>
      </c>
      <c r="D15" t="n">
        <v>302</v>
      </c>
      <c r="E15" t="n">
        <v>301.35</v>
      </c>
      <c r="F15" t="n">
        <v>12</v>
      </c>
      <c r="G15" t="n">
        <v>3624</v>
      </c>
      <c r="H15" t="n">
        <v>3616.2</v>
      </c>
      <c r="I15" s="4" t="n">
        <v>-7.8</v>
      </c>
      <c r="J15" s="4" t="n">
        <v>-0.22</v>
      </c>
      <c r="K15" t="inlineStr">
        <is>
          <t>SELL-STOP</t>
        </is>
      </c>
      <c r="L15" t="n">
        <v>4</v>
      </c>
      <c r="M15" t="n">
        <v>6.1</v>
      </c>
      <c r="N15" t="n">
        <v>6.17</v>
      </c>
      <c r="O15" t="inlineStr">
        <is>
          <t>New Age Tech</t>
        </is>
      </c>
      <c r="P15" t="inlineStr">
        <is>
          <t>❌ LOSS</t>
        </is>
      </c>
    </row>
    <row r="16" ht="15" customHeight="1">
      <c r="A16" t="inlineStr">
        <is>
          <t>ZEEL</t>
        </is>
      </c>
      <c r="B16" t="inlineStr">
        <is>
          <t>2026-06-24</t>
        </is>
      </c>
      <c r="C16" t="inlineStr">
        <is>
          <t>2026-06-25</t>
        </is>
      </c>
      <c r="D16" t="n">
        <v>115.1</v>
      </c>
      <c r="E16" t="n">
        <v>111.36</v>
      </c>
      <c r="F16" t="n">
        <v>40</v>
      </c>
      <c r="G16" t="n">
        <v>4604</v>
      </c>
      <c r="H16" t="n">
        <v>4454.4</v>
      </c>
      <c r="I16" s="4" t="n">
        <v>-149.6</v>
      </c>
      <c r="J16" s="4" t="n">
        <v>-3.25</v>
      </c>
      <c r="K16" t="inlineStr">
        <is>
          <t>SELL-STOP</t>
        </is>
      </c>
      <c r="L16" t="n">
        <v>2</v>
      </c>
      <c r="M16" t="n">
        <v>6.5</v>
      </c>
      <c r="N16" t="n">
        <v>6.62</v>
      </c>
      <c r="O16" t="inlineStr">
        <is>
          <t>Media &amp; Entertainment</t>
        </is>
      </c>
      <c r="P16" t="inlineStr">
        <is>
          <t>❌ LOSS</t>
        </is>
      </c>
    </row>
    <row r="17" ht="15" customHeight="1">
      <c r="A17" t="inlineStr">
        <is>
          <t>KOTAKBANK</t>
        </is>
      </c>
      <c r="B17" t="inlineStr">
        <is>
          <t>2026-06-25</t>
        </is>
      </c>
      <c r="C17" t="inlineStr">
        <is>
          <t>2026-06-25</t>
        </is>
      </c>
      <c r="D17" t="n">
        <v>409.5</v>
      </c>
      <c r="E17" t="n">
        <v>409</v>
      </c>
      <c r="F17" t="n">
        <v>8</v>
      </c>
      <c r="G17" t="n">
        <v>3276</v>
      </c>
      <c r="H17" t="n">
        <v>3272</v>
      </c>
      <c r="I17" s="4" t="n">
        <v>-4</v>
      </c>
      <c r="J17" s="4" t="n">
        <v>-0.12</v>
      </c>
      <c r="K17" t="inlineStr">
        <is>
          <t>SELL-STOP</t>
        </is>
      </c>
      <c r="L17" t="n">
        <v>1</v>
      </c>
      <c r="M17" t="n">
        <v>6.85</v>
      </c>
      <c r="N17" t="n">
        <v>6.85</v>
      </c>
      <c r="O17" t="inlineStr">
        <is>
          <t>Financial Services</t>
        </is>
      </c>
      <c r="P17" t="inlineStr">
        <is>
          <t>❌ LOSS</t>
        </is>
      </c>
    </row>
    <row r="18" ht="15" customHeight="1">
      <c r="A18" t="inlineStr">
        <is>
          <t>LUPIN</t>
        </is>
      </c>
      <c r="B18" t="inlineStr">
        <is>
          <t>2026-06-25</t>
        </is>
      </c>
      <c r="C18" t="inlineStr">
        <is>
          <t>2026-06-25</t>
        </is>
      </c>
      <c r="D18" t="n">
        <v>2374.9</v>
      </c>
      <c r="E18" t="n">
        <v>2343.5</v>
      </c>
      <c r="F18" t="n">
        <v>1</v>
      </c>
      <c r="G18" t="n">
        <v>2374.9</v>
      </c>
      <c r="H18" t="n">
        <v>2343.5</v>
      </c>
      <c r="I18" s="4" t="n">
        <v>-31.4</v>
      </c>
      <c r="J18" s="4" t="n">
        <v>-1.32</v>
      </c>
      <c r="K18" t="inlineStr">
        <is>
          <t>SELL-STOP</t>
        </is>
      </c>
      <c r="L18" t="n">
        <v>1</v>
      </c>
      <c r="M18" t="n">
        <v>6.4</v>
      </c>
      <c r="N18" t="n">
        <v>6.4</v>
      </c>
      <c r="O18" t="inlineStr">
        <is>
          <t>Healthcare</t>
        </is>
      </c>
      <c r="P18" t="inlineStr">
        <is>
          <t>❌ LOSS</t>
        </is>
      </c>
    </row>
    <row r="19" ht="15" customHeight="1">
      <c r="A19" t="inlineStr">
        <is>
          <t>BHARTIARTL</t>
        </is>
      </c>
      <c r="B19" t="inlineStr">
        <is>
          <t>2026-06-25</t>
        </is>
      </c>
      <c r="C19" t="inlineStr">
        <is>
          <t>2026-06-25</t>
        </is>
      </c>
      <c r="D19" t="n">
        <v>1885</v>
      </c>
      <c r="E19" t="n">
        <v>1850.7</v>
      </c>
      <c r="F19" t="n">
        <v>1</v>
      </c>
      <c r="G19" t="n">
        <v>1885</v>
      </c>
      <c r="H19" t="n">
        <v>1850.7</v>
      </c>
      <c r="I19" s="4" t="n">
        <v>-34.3</v>
      </c>
      <c r="J19" s="4" t="n">
        <v>-1.82</v>
      </c>
      <c r="K19" t="inlineStr">
        <is>
          <t>SELL-STOP</t>
        </is>
      </c>
      <c r="L19" t="n">
        <v>1</v>
      </c>
      <c r="M19" t="n">
        <v>6.4</v>
      </c>
      <c r="N19" t="n">
        <v>6.4</v>
      </c>
      <c r="O19" t="inlineStr">
        <is>
          <t>Telecom</t>
        </is>
      </c>
      <c r="P19" t="inlineStr">
        <is>
          <t>❌ LOSS</t>
        </is>
      </c>
    </row>
    <row r="20" ht="15" customHeight="1">
      <c r="A20" t="inlineStr">
        <is>
          <t>IOC</t>
        </is>
      </c>
      <c r="B20" t="inlineStr">
        <is>
          <t>2026-06-25</t>
        </is>
      </c>
      <c r="C20" t="inlineStr">
        <is>
          <t>2026-06-25</t>
        </is>
      </c>
      <c r="D20" t="n">
        <v>148</v>
      </c>
      <c r="E20" t="n">
        <v>143.89</v>
      </c>
      <c r="F20" t="n">
        <v>22</v>
      </c>
      <c r="G20" t="n">
        <v>3256</v>
      </c>
      <c r="H20" t="n">
        <v>3165.58</v>
      </c>
      <c r="I20" s="4" t="n">
        <v>-90.42</v>
      </c>
      <c r="J20" s="4" t="n">
        <v>-2.78</v>
      </c>
      <c r="K20" t="inlineStr">
        <is>
          <t>SELL-STOP</t>
        </is>
      </c>
      <c r="L20" t="n">
        <v>1</v>
      </c>
      <c r="M20" t="n">
        <v>6.28</v>
      </c>
      <c r="N20" t="n">
        <v>6.28</v>
      </c>
      <c r="O20" t="inlineStr">
        <is>
          <t>Energy</t>
        </is>
      </c>
      <c r="P20" t="inlineStr">
        <is>
          <t>❌ LOSS</t>
        </is>
      </c>
    </row>
    <row r="21" ht="15" customHeight="1">
      <c r="A21" t="inlineStr">
        <is>
          <t>CARTRADE</t>
        </is>
      </c>
      <c r="B21" t="inlineStr">
        <is>
          <t>2026-06-29</t>
        </is>
      </c>
      <c r="C21" t="inlineStr">
        <is>
          <t>2026-06-29</t>
        </is>
      </c>
      <c r="D21" t="n">
        <v>2698</v>
      </c>
      <c r="E21" t="n">
        <v>2658.6</v>
      </c>
      <c r="F21" t="n">
        <v>1</v>
      </c>
      <c r="G21" t="n">
        <v>2698</v>
      </c>
      <c r="H21" t="n">
        <v>2658.6</v>
      </c>
      <c r="I21" s="4" t="n">
        <v>-39.4</v>
      </c>
      <c r="J21" s="4" t="n">
        <v>-1.46</v>
      </c>
      <c r="K21" t="inlineStr">
        <is>
          <t>SELL-STOP</t>
        </is>
      </c>
      <c r="L21" t="n">
        <v>1</v>
      </c>
      <c r="M21" t="n">
        <v>6.91</v>
      </c>
      <c r="N21" t="n">
        <v>6.91</v>
      </c>
      <c r="O21" t="inlineStr">
        <is>
          <t>New Age Tech</t>
        </is>
      </c>
      <c r="P21" t="inlineStr">
        <is>
          <t>❌ LOSS</t>
        </is>
      </c>
    </row>
    <row r="22" ht="15" customHeight="1">
      <c r="A22" t="inlineStr">
        <is>
          <t>HDFCBANK</t>
        </is>
      </c>
      <c r="B22" t="inlineStr">
        <is>
          <t>2026-06-29</t>
        </is>
      </c>
      <c r="C22" t="inlineStr">
        <is>
          <t>2026-06-29</t>
        </is>
      </c>
      <c r="D22" t="n">
        <v>800</v>
      </c>
      <c r="E22" t="n">
        <v>798.9</v>
      </c>
      <c r="F22" t="n">
        <v>4</v>
      </c>
      <c r="G22" t="n">
        <v>3200</v>
      </c>
      <c r="H22" t="n">
        <v>3195.6</v>
      </c>
      <c r="I22" s="4" t="n">
        <v>-4.4</v>
      </c>
      <c r="J22" s="4" t="n">
        <v>-0.14</v>
      </c>
      <c r="K22" t="inlineStr">
        <is>
          <t>SELL-STOP</t>
        </is>
      </c>
      <c r="L22" t="n">
        <v>1</v>
      </c>
      <c r="M22" t="n">
        <v>6.5</v>
      </c>
      <c r="N22" t="n">
        <v>6.5</v>
      </c>
      <c r="O22" t="inlineStr">
        <is>
          <t>Financial Services</t>
        </is>
      </c>
      <c r="P22" t="inlineStr">
        <is>
          <t>❌ LOSS</t>
        </is>
      </c>
    </row>
    <row r="23" ht="15" customHeight="1">
      <c r="A23" t="inlineStr">
        <is>
          <t>ZEEL</t>
        </is>
      </c>
      <c r="B23" t="inlineStr">
        <is>
          <t>2026-06-29</t>
        </is>
      </c>
      <c r="C23" t="inlineStr">
        <is>
          <t>2026-06-29</t>
        </is>
      </c>
      <c r="D23" t="n">
        <v>111.99</v>
      </c>
      <c r="E23" t="n">
        <v>107.32</v>
      </c>
      <c r="F23" t="n">
        <v>33</v>
      </c>
      <c r="G23" t="n">
        <v>3695.67</v>
      </c>
      <c r="H23" t="n">
        <v>3541.56</v>
      </c>
      <c r="I23" s="4" t="n">
        <v>-154.11</v>
      </c>
      <c r="J23" s="4" t="n">
        <v>-4.17</v>
      </c>
      <c r="K23" t="inlineStr">
        <is>
          <t>SELL-STOP</t>
        </is>
      </c>
      <c r="L23" t="n">
        <v>1</v>
      </c>
      <c r="M23" t="n">
        <v>6.45</v>
      </c>
      <c r="N23" t="n">
        <v>6.45</v>
      </c>
      <c r="O23" t="inlineStr">
        <is>
          <t>Media &amp; Entertainment</t>
        </is>
      </c>
      <c r="P23" t="inlineStr">
        <is>
          <t>❌ LOSS</t>
        </is>
      </c>
    </row>
    <row r="24" ht="15" customHeight="1">
      <c r="A24" t="inlineStr">
        <is>
          <t>AXISBANK</t>
        </is>
      </c>
      <c r="B24" t="inlineStr">
        <is>
          <t>2026-06-18</t>
        </is>
      </c>
      <c r="C24" t="inlineStr">
        <is>
          <t>2026-06-30</t>
        </is>
      </c>
      <c r="D24" t="n">
        <v>1347.6</v>
      </c>
      <c r="E24" t="n">
        <v>1345.7</v>
      </c>
      <c r="F24" t="n">
        <v>6</v>
      </c>
      <c r="G24" t="n">
        <v>8085.6</v>
      </c>
      <c r="H24" t="n">
        <v>8074.2</v>
      </c>
      <c r="I24" s="4" t="n">
        <v>-11.4</v>
      </c>
      <c r="J24" s="4" t="n">
        <v>-0.14</v>
      </c>
      <c r="K24" t="inlineStr">
        <is>
          <t>SELL-STOP</t>
        </is>
      </c>
      <c r="L24" t="n">
        <v>13</v>
      </c>
      <c r="M24" t="n">
        <v>6.8</v>
      </c>
      <c r="N24" t="n">
        <v>5.83</v>
      </c>
      <c r="O24" t="inlineStr">
        <is>
          <t>Financial Services</t>
        </is>
      </c>
      <c r="P24" t="inlineStr">
        <is>
          <t>❌ LOSS</t>
        </is>
      </c>
    </row>
    <row r="25" ht="15" customHeight="1">
      <c r="A25" t="inlineStr">
        <is>
          <t>HDFCBANK</t>
        </is>
      </c>
      <c r="B25" t="inlineStr">
        <is>
          <t>2026-06-30</t>
        </is>
      </c>
      <c r="C25" t="inlineStr">
        <is>
          <t>2026-06-30</t>
        </is>
      </c>
      <c r="D25" t="n">
        <v>806.1</v>
      </c>
      <c r="E25" t="n">
        <v>797.95</v>
      </c>
      <c r="F25" t="n">
        <v>4</v>
      </c>
      <c r="G25" t="n">
        <v>3224.4</v>
      </c>
      <c r="H25" t="n">
        <v>3191.8</v>
      </c>
      <c r="I25" s="4" t="n">
        <v>-32.6</v>
      </c>
      <c r="J25" s="4" t="n">
        <v>-1.01</v>
      </c>
      <c r="K25" t="inlineStr">
        <is>
          <t>SELL-STOP</t>
        </is>
      </c>
      <c r="L25" t="n">
        <v>1</v>
      </c>
      <c r="M25" t="n">
        <v>6.58</v>
      </c>
      <c r="N25" t="n">
        <v>6.58</v>
      </c>
      <c r="O25" t="inlineStr">
        <is>
          <t>Financial Services</t>
        </is>
      </c>
      <c r="P25" t="inlineStr">
        <is>
          <t>❌ LOSS</t>
        </is>
      </c>
    </row>
    <row r="26" ht="15" customHeight="1">
      <c r="A26" t="inlineStr">
        <is>
          <t>LUPIN</t>
        </is>
      </c>
      <c r="B26" t="inlineStr">
        <is>
          <t>2026-06-30</t>
        </is>
      </c>
      <c r="C26" t="inlineStr">
        <is>
          <t>2026-07-01</t>
        </is>
      </c>
      <c r="D26" t="n">
        <v>2409.4</v>
      </c>
      <c r="E26" t="n">
        <v>2397.5</v>
      </c>
      <c r="F26" t="n">
        <v>1</v>
      </c>
      <c r="G26" t="n">
        <v>2409.4</v>
      </c>
      <c r="H26" t="n">
        <v>2397.5</v>
      </c>
      <c r="I26" s="4" t="n">
        <v>-11.9</v>
      </c>
      <c r="J26" s="4" t="n">
        <v>-0.49</v>
      </c>
      <c r="K26" t="inlineStr">
        <is>
          <t>SELL-STOP</t>
        </is>
      </c>
      <c r="L26" t="n">
        <v>2</v>
      </c>
      <c r="M26" t="n">
        <v>6.25</v>
      </c>
      <c r="N26" t="n">
        <v>6.4</v>
      </c>
      <c r="O26" t="inlineStr">
        <is>
          <t>Healthcare</t>
        </is>
      </c>
      <c r="P26" t="inlineStr">
        <is>
          <t>❌ LOSS</t>
        </is>
      </c>
    </row>
    <row r="27" ht="15" customHeight="1">
      <c r="A27" t="inlineStr">
        <is>
          <t>LUPIN</t>
        </is>
      </c>
      <c r="B27" t="inlineStr">
        <is>
          <t>2026-07-02</t>
        </is>
      </c>
      <c r="C27" t="inlineStr">
        <is>
          <t>2026-07-02</t>
        </is>
      </c>
      <c r="D27" t="n">
        <v>2420</v>
      </c>
      <c r="E27" t="n">
        <v>2399.6</v>
      </c>
      <c r="F27" t="n">
        <v>1</v>
      </c>
      <c r="G27" t="n">
        <v>2420</v>
      </c>
      <c r="H27" t="n">
        <v>2399.6</v>
      </c>
      <c r="I27" s="4" t="n">
        <v>-20.4</v>
      </c>
      <c r="J27" s="4" t="n">
        <v>-0.84</v>
      </c>
      <c r="K27" t="inlineStr">
        <is>
          <t>SELL-STOP</t>
        </is>
      </c>
      <c r="L27" t="n">
        <v>1</v>
      </c>
      <c r="M27" t="n">
        <v>6.45</v>
      </c>
      <c r="N27" t="n">
        <v>6.45</v>
      </c>
      <c r="O27" t="inlineStr">
        <is>
          <t>Healthcare</t>
        </is>
      </c>
      <c r="P27" t="inlineStr">
        <is>
          <t>❌ LOSS</t>
        </is>
      </c>
    </row>
    <row r="28" ht="15" customHeight="1">
      <c r="A28" t="inlineStr">
        <is>
          <t>ZEEL</t>
        </is>
      </c>
      <c r="B28" t="inlineStr">
        <is>
          <t>2026-07-02</t>
        </is>
      </c>
      <c r="C28" t="inlineStr">
        <is>
          <t>2026-07-02</t>
        </is>
      </c>
      <c r="D28" t="n">
        <v>108</v>
      </c>
      <c r="E28" t="n">
        <v>107.16</v>
      </c>
      <c r="F28" t="n">
        <v>29</v>
      </c>
      <c r="G28" t="n">
        <v>3132</v>
      </c>
      <c r="H28" t="n">
        <v>3107.64</v>
      </c>
      <c r="I28" s="4" t="n">
        <v>-24.36</v>
      </c>
      <c r="J28" s="4" t="n">
        <v>-0.78</v>
      </c>
      <c r="K28" t="inlineStr">
        <is>
          <t>SELL-STOP</t>
        </is>
      </c>
      <c r="L28" t="n">
        <v>1</v>
      </c>
      <c r="M28" t="n">
        <v>6.26</v>
      </c>
      <c r="N28" t="n">
        <v>6.26</v>
      </c>
      <c r="O28" t="inlineStr">
        <is>
          <t>Media &amp; Entertainment</t>
        </is>
      </c>
      <c r="P28" t="inlineStr">
        <is>
          <t>❌ LOSS</t>
        </is>
      </c>
    </row>
    <row r="29" ht="15" customHeight="1">
      <c r="A29" t="inlineStr">
        <is>
          <t>IDEA</t>
        </is>
      </c>
      <c r="B29" t="inlineStr">
        <is>
          <t>2026-07-01</t>
        </is>
      </c>
      <c r="C29" t="inlineStr">
        <is>
          <t>2026-07-07</t>
        </is>
      </c>
      <c r="D29" t="n">
        <v>14.46</v>
      </c>
      <c r="E29" t="n">
        <v>13.85</v>
      </c>
      <c r="F29" t="n">
        <v>257</v>
      </c>
      <c r="G29" t="n">
        <v>3716.22</v>
      </c>
      <c r="H29" t="n">
        <v>3559.45</v>
      </c>
      <c r="I29" s="4" t="n">
        <v>-156.77</v>
      </c>
      <c r="J29" s="4" t="n">
        <v>-4.22</v>
      </c>
      <c r="K29" t="inlineStr">
        <is>
          <t>SELL-STOP</t>
        </is>
      </c>
      <c r="L29" t="n">
        <v>8</v>
      </c>
      <c r="M29" t="n">
        <v>6.24</v>
      </c>
      <c r="N29" t="n">
        <v>6.24</v>
      </c>
      <c r="O29" t="inlineStr">
        <is>
          <t>Telecom</t>
        </is>
      </c>
      <c r="P29" t="inlineStr">
        <is>
          <t>❌ LOSS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1" max="1"/>
    <col width="11" customWidth="1" min="2" max="4"/>
    <col width="8" customWidth="1" min="5" max="6"/>
    <col width="14" customWidth="1" min="7" max="7"/>
  </cols>
  <sheetData>
    <row r="1" ht="15" customHeight="1">
      <c r="A1" s="1" t="inlineStr">
        <is>
          <t>Date</t>
        </is>
      </c>
      <c r="B1" s="1" t="inlineStr">
        <is>
          <t>Parameter</t>
        </is>
      </c>
      <c r="C1" s="1" t="inlineStr">
        <is>
          <t>Old Value</t>
        </is>
      </c>
      <c r="D1" s="1" t="inlineStr">
        <is>
          <t>New Value</t>
        </is>
      </c>
      <c r="E1" s="1" t="inlineStr">
        <is>
          <t>Change</t>
        </is>
      </c>
      <c r="F1" s="1" t="inlineStr">
        <is>
          <t>Reason</t>
        </is>
      </c>
      <c r="G1" s="1" t="inlineStr">
        <is>
          <t>Triggered By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42" customWidth="1" min="4" max="4"/>
    <col width="28" customWidth="1" min="5" max="5"/>
    <col width="38" customWidth="1" min="6" max="6"/>
    <col width="32" customWidth="1" min="7" max="7"/>
    <col width="12" customWidth="1" min="8" max="8"/>
    <col width="11" customWidth="1" min="9" max="9"/>
  </cols>
  <sheetData>
    <row r="1" ht="30" customHeight="1">
      <c r="A1" s="10" t="inlineStr">
        <is>
          <t>🤖  STOCK COUNCIL — MODEL IMPROVEMENT LOG</t>
        </is>
      </c>
    </row>
    <row r="2" ht="18" customHeight="1">
      <c r="A2" s="11" t="inlineStr">
        <is>
          <t>All structural, algorithmic, and data-quality changes made to the trading system (Model A &amp; B)</t>
        </is>
      </c>
    </row>
    <row r="3" ht="22" customHeight="1">
      <c r="A3" s="12" t="inlineStr">
        <is>
          <t>#</t>
        </is>
      </c>
      <c r="B3" s="12" t="inlineStr">
        <is>
          <t>Date</t>
        </is>
      </c>
      <c r="C3" s="12" t="inlineStr">
        <is>
          <t>Category</t>
        </is>
      </c>
      <c r="D3" s="12" t="inlineStr">
        <is>
          <t>Change / Fix</t>
        </is>
      </c>
      <c r="E3" s="12" t="inlineStr">
        <is>
          <t>File(s) Modified</t>
        </is>
      </c>
      <c r="F3" s="12" t="inlineStr">
        <is>
          <t>Root Cause / Reason</t>
        </is>
      </c>
      <c r="G3" s="12" t="inlineStr">
        <is>
          <t>Expected Impact</t>
        </is>
      </c>
      <c r="H3" s="12" t="inlineStr">
        <is>
          <t>Status</t>
        </is>
      </c>
      <c r="I3" s="12" t="inlineStr">
        <is>
          <t>Verified ?</t>
        </is>
      </c>
    </row>
    <row r="4" ht="16" customHeight="1">
      <c r="A4" s="13" t="inlineStr">
        <is>
          <t xml:space="preserve">  ◀  SYSTEM RELIABILITY &amp; CRASH RECOVERY  ▶</t>
        </is>
      </c>
    </row>
    <row r="5" ht="52" customHeight="1">
      <c r="A5" s="14" t="n">
        <v>1</v>
      </c>
      <c r="B5" s="15" t="inlineStr">
        <is>
          <t>2026-06-17</t>
        </is>
      </c>
      <c r="C5" s="14" t="inlineStr">
        <is>
          <t>Reliability</t>
        </is>
      </c>
      <c r="D5" s="16" t="inlineStr">
        <is>
          <t>Raised COUNCIL_MAX_RETRIES: 3 → 12</t>
        </is>
      </c>
      <c r="E5" s="17" t="inlineStr">
        <is>
          <t>night_runner.py</t>
        </is>
      </c>
      <c r="F5" s="18" t="inlineStr">
        <is>
          <t>Ollama occasionally returned empty/malformed JSON on first attempt; 3 retries too low for slow LLM calls</t>
        </is>
      </c>
      <c r="G5" s="19" t="inlineStr">
        <is>
          <t>Fewer council skips; more stocks evaluated per night; GPU warmup handled gracefully</t>
        </is>
      </c>
      <c r="H5" s="20" t="inlineStr">
        <is>
          <t>Live ✅</t>
        </is>
      </c>
      <c r="I5" s="21" t="inlineStr">
        <is>
          <t>Yes ✔</t>
        </is>
      </c>
    </row>
    <row r="6" ht="52" customHeight="1">
      <c r="A6" s="22" t="n">
        <v>2</v>
      </c>
      <c r="B6" s="23" t="inlineStr">
        <is>
          <t>2026-06-17</t>
        </is>
      </c>
      <c r="C6" s="14" t="inlineStr">
        <is>
          <t>Reliability</t>
        </is>
      </c>
      <c r="D6" s="24" t="inlineStr">
        <is>
          <t>Per-bot checkpoint cache (_save_bot_cache)</t>
        </is>
      </c>
      <c r="E6" s="25" t="inlineStr">
        <is>
          <t>night_runner.py</t>
        </is>
      </c>
      <c r="F6" s="26" t="inlineStr">
        <is>
          <t>Full crash during council (e.g. OOM) lost all partial bot outputs; run had to restart from scratch</t>
        </is>
      </c>
      <c r="G6" s="27" t="inlineStr">
        <is>
          <t>Crash recovery resumes from last completed bot; saves ~20-30 min on partial failures</t>
        </is>
      </c>
      <c r="H6" s="28" t="inlineStr">
        <is>
          <t>Live ✅</t>
        </is>
      </c>
      <c r="I6" s="29" t="inlineStr">
        <is>
          <t>Yes ✔</t>
        </is>
      </c>
    </row>
    <row r="7" ht="16" customHeight="1">
      <c r="A7" s="13" t="inlineStr">
        <is>
          <t xml:space="preserve">  ◀  PORTFOLIO ENGINE &amp; MODEL B  ▶</t>
        </is>
      </c>
    </row>
    <row r="8" ht="52" customHeight="1">
      <c r="A8" s="30" t="n">
        <v>3</v>
      </c>
      <c r="B8" s="31" t="inlineStr">
        <is>
          <t>2026-06-19</t>
        </is>
      </c>
      <c r="C8" s="30" t="inlineStr">
        <is>
          <t>New Feature</t>
        </is>
      </c>
      <c r="D8" s="32" t="inlineStr">
        <is>
          <t>Model B — Daily Conviction Budget engine</t>
        </is>
      </c>
      <c r="E8" s="33" t="inlineStr">
        <is>
          <t>portfolio_engine_v2.py
portfolio_state_v2.json</t>
        </is>
      </c>
      <c r="F8" s="34" t="inlineStr">
        <is>
          <t>Model A lump-sum allocation misses daily opportunities; need incremental deployment</t>
        </is>
      </c>
      <c r="G8" s="35" t="inlineStr">
        <is>
          <t>₹10,000/day conviction budget; vanishes if unused; parallel tracking vs Model A for A/B comparison</t>
        </is>
      </c>
      <c r="H8" s="36" t="inlineStr">
        <is>
          <t>Live ✅</t>
        </is>
      </c>
      <c r="I8" s="37" t="inlineStr">
        <is>
          <t>Yes ✔</t>
        </is>
      </c>
    </row>
    <row r="9" ht="16" customHeight="1">
      <c r="A9" s="13" t="inlineStr">
        <is>
          <t xml:space="preserve">  ◀  DATA QUALITY &amp; TICKER FIXES  ▶</t>
        </is>
      </c>
    </row>
    <row r="10" ht="52" customHeight="1">
      <c r="A10" s="22" t="n">
        <v>4</v>
      </c>
      <c r="B10" s="23" t="inlineStr">
        <is>
          <t>2026-06-22</t>
        </is>
      </c>
      <c r="C10" s="38" t="inlineStr">
        <is>
          <t>Data Quality</t>
        </is>
      </c>
      <c r="D10" s="24" t="inlineStr">
        <is>
          <t>Fixed 5 Yahoo Finance ticker symbols (false-delisted)</t>
        </is>
      </c>
      <c r="E10" s="25" t="inlineStr">
        <is>
          <t>data/price_cache/*.csv</t>
        </is>
      </c>
      <c r="F10" s="26" t="inlineStr">
        <is>
          <t>YFinance returned "delisted" for OFSS, PERSISTENT, COFORGE, TRENT, BRIGADE — wrong NS/BO suffix</t>
        </is>
      </c>
      <c r="G10" s="27" t="inlineStr">
        <is>
          <t>Correct OHLCV data for 5 high-quality large-caps; GPS scores now accurate for these stocks</t>
        </is>
      </c>
      <c r="H10" s="28" t="inlineStr">
        <is>
          <t>Live ✅</t>
        </is>
      </c>
      <c r="I10" s="29" t="inlineStr">
        <is>
          <t>Yes ✔</t>
        </is>
      </c>
    </row>
    <row r="11" ht="16" customHeight="1">
      <c r="A11" s="13" t="inlineStr">
        <is>
          <t xml:space="preserve">  ◀  SCANNER, PIPELINE &amp; MISSED OPPORTUNITIES  ▶</t>
        </is>
      </c>
    </row>
    <row r="12" ht="52" customHeight="1">
      <c r="A12" s="39" t="n">
        <v>5</v>
      </c>
      <c r="B12" s="60" t="inlineStr">
        <is>
          <t>2026-07-07</t>
        </is>
      </c>
      <c r="C12" s="39" t="inlineStr">
        <is>
          <t>Bug Fix</t>
        </is>
      </c>
      <c r="D12" s="41" t="inlineStr">
        <is>
          <t>Sector scanner pool expanded: top 3 → top 10 per sector</t>
        </is>
      </c>
      <c r="E12" s="42" t="inlineStr">
        <is>
          <t>scanner/sector_scanner.py  (rank_stocks_in_sector)</t>
        </is>
      </c>
      <c r="F12" s="43" t="inlineStr">
        <is>
          <t>scored[:3] hardcoded cap meant orchestrator's n_stocks logic (up to 8) had only 3 candidates; high-GPS stocks like OFSS (GPS 8.05) silently dropped</t>
        </is>
      </c>
      <c r="G12" s="44" t="inlineStr">
        <is>
          <t>Orchestrator now sees full candidate pool per sector; n_stocks=6 can actually pick 6 stocks</t>
        </is>
      </c>
      <c r="H12" s="45" t="inlineStr">
        <is>
          <t>Live ✅</t>
        </is>
      </c>
      <c r="I12" s="46" t="inlineStr">
        <is>
          <t>Yes ✔</t>
        </is>
      </c>
    </row>
    <row r="13" ht="52" customHeight="1">
      <c r="A13" s="22" t="n">
        <v>6</v>
      </c>
      <c r="B13" s="23" t="inlineStr">
        <is>
          <t>2026-07-07</t>
        </is>
      </c>
      <c r="C13" s="30" t="inlineStr">
        <is>
          <t>New Feature</t>
        </is>
      </c>
      <c r="D13" s="24" t="inlineStr">
        <is>
          <t>GPS Rescue Pass — post-pipeline catch for GPS ≥ 7.5 stocks</t>
        </is>
      </c>
      <c r="E13" s="25" t="inlineStr">
        <is>
          <t>night_runner.py  (phase3_council)</t>
        </is>
      </c>
      <c r="F13" s="26" t="inlineStr">
        <is>
          <t>Sector cap bug caused OFSS (GPS 8.05, 6.88) and THERMAX (GPS 7.58) to be missed 2 days in a row despite high conviction</t>
        </is>
      </c>
      <c r="G13" s="27" t="inlineStr">
        <is>
          <t>Any stock with GPS ≥ 7.5 not already debated gets forced into council after main pipeline; structural gap eliminated</t>
        </is>
      </c>
      <c r="H13" s="28" t="inlineStr">
        <is>
          <t>Live ✅</t>
        </is>
      </c>
      <c r="I13" s="29" t="inlineStr">
        <is>
          <t>Yes ✔</t>
        </is>
      </c>
    </row>
    <row r="14" ht="52" customHeight="1">
      <c r="A14" s="30" t="n">
        <v>7</v>
      </c>
      <c r="B14" s="31" t="inlineStr">
        <is>
          <t>2026-07-07</t>
        </is>
      </c>
      <c r="C14" s="30" t="inlineStr">
        <is>
          <t>New Feature</t>
        </is>
      </c>
      <c r="D14" s="32" t="inlineStr">
        <is>
          <t>Phase 6 — Missed Opportunity Analysis (nightly)</t>
        </is>
      </c>
      <c r="E14" s="33" t="inlineStr">
        <is>
          <t>night_runner.py  (phase6_missed_opportunities)
data/missed_opportunities.json</t>
        </is>
      </c>
      <c r="F14" s="34" t="inlineStr">
        <is>
          <t>No visibility into which high-movers were not debated; could not distinguish threshold misses from structural gaps</t>
        </is>
      </c>
      <c r="G14" s="35" t="inlineStr">
        <is>
          <t>Top daily movers not debated get fast-mode council run (analytical only); results feed weekly parameter review</t>
        </is>
      </c>
      <c r="H14" s="36" t="inlineStr">
        <is>
          <t>Live ✅</t>
        </is>
      </c>
      <c r="I14" s="37" t="inlineStr">
        <is>
          <t>Yes ✔</t>
        </is>
      </c>
    </row>
    <row r="15" ht="16" customHeight="1">
      <c r="A15" s="13" t="inlineStr">
        <is>
          <t xml:space="preserve">  ◀  DATA INTEGRITY &amp; DATE CORRECTIONS  ▶</t>
        </is>
      </c>
    </row>
    <row r="16" ht="52" customHeight="1">
      <c r="A16" s="22" t="n">
        <v>8</v>
      </c>
      <c r="B16" s="23" t="inlineStr">
        <is>
          <t>2026-07-07</t>
        </is>
      </c>
      <c r="C16" s="39" t="inlineStr">
        <is>
          <t>Bug Fix</t>
        </is>
      </c>
      <c r="D16" s="24" t="inlineStr">
        <is>
          <t>Restored truncated file endings (pre-existing corruption)</t>
        </is>
      </c>
      <c r="E16" s="25" t="inlineStr">
        <is>
          <t>scanner/sector_scanner.py
night_runner.py</t>
        </is>
      </c>
      <c r="F16" s="26" t="inlineStr">
        <is>
          <t>Both files silently truncated mid-line/mid-string (lines 673, 987); likely from a previous session crash</t>
        </is>
      </c>
      <c r="G16" s="27" t="inlineStr">
        <is>
          <t>scan_sectors() print loop restored; main() argparse + run_tonight() call restored; both compile clean</t>
        </is>
      </c>
      <c r="H16" s="28" t="inlineStr">
        <is>
          <t>Live ✅</t>
        </is>
      </c>
      <c r="I16" s="29" t="inlineStr">
        <is>
          <t>Yes ✔</t>
        </is>
      </c>
    </row>
    <row r="17" ht="52" customHeight="1">
      <c r="A17" s="38" t="n">
        <v>9</v>
      </c>
      <c r="B17" s="47" t="inlineStr">
        <is>
          <t>2026-07-07</t>
        </is>
      </c>
      <c r="C17" s="38" t="inlineStr">
        <is>
          <t>Data Quality</t>
        </is>
      </c>
      <c r="D17" s="48" t="inlineStr">
        <is>
          <t>Day 14 date corrected: 2026-07-08 → 2026-07-07</t>
        </is>
      </c>
      <c r="E17" s="49" t="inlineStr">
        <is>
          <t>data/portfolio_state.json
portfolio_tracker.xlsx
(Daily Log rows 82-87, Closed Trades row 29)</t>
        </is>
      </c>
      <c r="F17" s="50" t="inlineStr">
        <is>
          <t>Night runner ran on July 7 but system clock / state recorded July 8; duplicate guard would have blocked Day 15</t>
        </is>
      </c>
      <c r="G17" s="51" t="inlineStr">
        <is>
          <t>Day 15 (today, July 8) runs cleanly; no false-duplicate detection</t>
        </is>
      </c>
      <c r="H17" s="52" t="inlineStr">
        <is>
          <t>Live ✅</t>
        </is>
      </c>
      <c r="I17" s="53" t="inlineStr">
        <is>
          <t>Yes ✔</t>
        </is>
      </c>
    </row>
    <row r="18" ht="52" customHeight="1">
      <c r="A18" s="22" t="n">
        <v>10</v>
      </c>
      <c r="B18" s="23" t="inlineStr">
        <is>
          <t>2026-07-07</t>
        </is>
      </c>
      <c r="C18" s="54" t="inlineStr">
        <is>
          <t>Model B</t>
        </is>
      </c>
      <c r="D18" s="24" t="inlineStr">
        <is>
          <t>plan_b_tracker.xlsx regenerated with correct 14-day data</t>
        </is>
      </c>
      <c r="E18" s="25" t="inlineStr">
        <is>
          <t>plan_b_tracker.xlsx</t>
        </is>
      </c>
      <c r="F18" s="26" t="inlineStr">
        <is>
          <t>Previous version had placeholder data and July 4 (Saturday) budget logic errors</t>
        </is>
      </c>
      <c r="G18" s="27" t="inlineStr">
        <is>
          <t>Accurate Model B dashboard: ₹10k/day vanishing budget, 14 trading days, A vs B comparison sheet</t>
        </is>
      </c>
      <c r="H18" s="28" t="inlineStr">
        <is>
          <t>Live ✅</t>
        </is>
      </c>
      <c r="I18" s="29" t="inlineStr">
        <is>
          <t>Yes ✔</t>
        </is>
      </c>
    </row>
    <row r="20" ht="20" customHeight="1">
      <c r="A20" s="55" t="inlineStr">
        <is>
          <t>IMPACT SUMMARY</t>
        </is>
      </c>
    </row>
    <row r="21" ht="18" customHeight="1">
      <c r="A21" s="56" t="inlineStr">
        <is>
          <t>Total Changes Logged</t>
        </is>
      </c>
      <c r="B21" s="57">
        <f>COUNTA(B4:B19)</f>
        <v/>
      </c>
      <c r="C21" s="69" t="n"/>
      <c r="D21" s="70" t="n"/>
    </row>
    <row r="22" ht="18" customHeight="1">
      <c r="A22" s="56" t="inlineStr">
        <is>
          <t>Live / Deployed</t>
        </is>
      </c>
      <c r="B22" s="57">
        <f>COUNTIF(H4:H19,"Live ✅")</f>
        <v/>
      </c>
      <c r="C22" s="69" t="n"/>
      <c r="D22" s="70" t="n"/>
    </row>
    <row r="23" ht="18" customHeight="1">
      <c r="A23" s="56" t="inlineStr">
        <is>
          <t>Verified</t>
        </is>
      </c>
      <c r="B23" s="57">
        <f>COUNTIF(I4:I19,"Yes ✔")</f>
        <v/>
      </c>
      <c r="C23" s="69" t="n"/>
      <c r="D23" s="70" t="n"/>
    </row>
    <row r="24" ht="18" customHeight="1">
      <c r="A24" s="56" t="inlineStr">
        <is>
          <t>Bug Fixes</t>
        </is>
      </c>
      <c r="B24" s="57">
        <f>COUNTIF(C4:C19,"Bug Fix")</f>
        <v/>
      </c>
      <c r="C24" s="69" t="n"/>
      <c r="D24" s="70" t="n"/>
    </row>
    <row r="25" ht="18" customHeight="1">
      <c r="A25" s="56" t="inlineStr">
        <is>
          <t>New Features</t>
        </is>
      </c>
      <c r="B25" s="57">
        <f>COUNTIF(C4:C19,"New Feature")</f>
        <v/>
      </c>
      <c r="C25" s="69" t="n"/>
      <c r="D25" s="70" t="n"/>
    </row>
    <row r="26" ht="18" customHeight="1">
      <c r="A26" s="56" t="inlineStr">
        <is>
          <t>GPS Rescue threshold</t>
        </is>
      </c>
      <c r="B26" s="57" t="inlineStr">
        <is>
          <t>GPS ≥ 7.5 (hardcoded in night_runner.py)</t>
        </is>
      </c>
      <c r="C26" s="69" t="n"/>
      <c r="D26" s="70" t="n"/>
    </row>
    <row r="27" ht="18" customHeight="1">
      <c r="A27" s="56" t="inlineStr">
        <is>
          <t>Sector pool size (current)</t>
        </is>
      </c>
      <c r="B27" s="57" t="inlineStr">
        <is>
          <t>10 stocks/sector (was 3)</t>
        </is>
      </c>
      <c r="C27" s="69" t="n"/>
      <c r="D27" s="70" t="n"/>
    </row>
    <row r="28" ht="18" customHeight="1">
      <c r="A28" s="56" t="inlineStr">
        <is>
          <t>Model A GPS threshold</t>
        </is>
      </c>
      <c r="B28" s="57" t="inlineStr">
        <is>
          <t>6.0  (last reviewed: 2026-07-07)</t>
        </is>
      </c>
      <c r="C28" s="69" t="n"/>
      <c r="D28" s="70" t="n"/>
    </row>
    <row r="29" ht="18" customHeight="1">
      <c r="A29" s="56" t="inlineStr">
        <is>
          <t>Next parameter review</t>
        </is>
      </c>
      <c r="B29" s="57" t="inlineStr">
        <is>
          <t>Sunday 2026-07-12, 7:00 PM IST</t>
        </is>
      </c>
      <c r="C29" s="69" t="n"/>
      <c r="D29" s="70" t="n"/>
    </row>
  </sheetData>
  <mergeCells count="17">
    <mergeCell ref="A15:I15"/>
    <mergeCell ref="A7:I7"/>
    <mergeCell ref="B28:D28"/>
    <mergeCell ref="A2:I2"/>
    <mergeCell ref="A11:I11"/>
    <mergeCell ref="B23:D23"/>
    <mergeCell ref="B22:D22"/>
    <mergeCell ref="B25:D25"/>
    <mergeCell ref="A1:I1"/>
    <mergeCell ref="B26:D26"/>
    <mergeCell ref="A9:I9"/>
    <mergeCell ref="B27:D27"/>
    <mergeCell ref="B21:D21"/>
    <mergeCell ref="B29:D29"/>
    <mergeCell ref="A4:I4"/>
    <mergeCell ref="A20:I20"/>
    <mergeCell ref="B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28" customWidth="1" min="4" max="4"/>
    <col width="18" customWidth="1" min="5" max="5"/>
    <col width="22" customWidth="1" min="6" max="6"/>
  </cols>
  <sheetData>
    <row r="1" ht="32" customHeight="1">
      <c r="A1" s="10" t="inlineStr">
        <is>
          <t>🛠️  STOCK COUNCIL — OPERATIONS RUNBOOK</t>
        </is>
      </c>
    </row>
    <row r="2" ht="16" customHeight="1">
      <c r="A2" s="73" t="inlineStr">
        <is>
          <t>Commands to run for every verified issue — copy-paste into terminal from C:\Users\110575\Desktop\StockCouncil\stock_council\stock_council\</t>
        </is>
      </c>
    </row>
    <row r="3" ht="22" customHeight="1">
      <c r="A3" s="74" t="inlineStr">
        <is>
          <t>#</t>
        </is>
      </c>
      <c r="B3" s="74" t="inlineStr">
        <is>
          <t>Issue / Trigger</t>
        </is>
      </c>
      <c r="C3" s="74" t="inlineStr">
        <is>
          <t>Command to Run (copy-paste)</t>
        </is>
      </c>
      <c r="D3" s="74" t="inlineStr">
        <is>
          <t>What It Does</t>
        </is>
      </c>
      <c r="E3" s="74" t="inlineStr">
        <is>
          <t>Verified?</t>
        </is>
      </c>
      <c r="F3" s="74" t="inlineStr">
        <is>
          <t>Risk</t>
        </is>
      </c>
    </row>
    <row r="4" ht="20" customHeight="1">
      <c r="A4" s="75" t="inlineStr">
        <is>
          <t xml:space="preserve">  ▶  NIGHT RUNNER — STARTUP &amp; NORMAL RUN</t>
        </is>
      </c>
      <c r="B4" s="112" t="n"/>
      <c r="C4" s="112" t="n"/>
      <c r="D4" s="112" t="n"/>
      <c r="E4" s="112" t="n"/>
      <c r="F4" s="113" t="n"/>
    </row>
    <row r="5" ht="68" customHeight="1">
      <c r="A5" s="76" t="n">
        <v>1</v>
      </c>
      <c r="B5" s="77" t="inlineStr">
        <is>
          <t>Normal nightly run
(run after 5 PM IST)</t>
        </is>
      </c>
      <c r="C5" s="78" t="inlineStr">
        <is>
          <t>python night_runner.py</t>
        </is>
      </c>
      <c r="D5" s="79" t="inlineStr">
        <is>
          <t>Full 6-phase pipeline:
Phase1=data, Phase2=accuracy,
Phase3=council, Phase4=portfolio,
Phase5=report, Phase6=missed-opp</t>
        </is>
      </c>
      <c r="E5" s="80" t="inlineStr">
        <is>
          <t>Yes ✔</t>
        </is>
      </c>
      <c r="F5" s="81" t="inlineStr">
        <is>
          <t>LOW</t>
        </is>
      </c>
    </row>
    <row r="6" ht="20" customHeight="1">
      <c r="A6" s="76" t="n">
        <v>2</v>
      </c>
      <c r="B6" s="77" t="inlineStr">
        <is>
          <t>Faster run — skip missed-opportunity analysis (~45 min saved)</t>
        </is>
      </c>
      <c r="C6" s="78" t="inlineStr">
        <is>
          <t>python night_runner.py --skip-missed-opp</t>
        </is>
      </c>
      <c r="D6" s="79" t="inlineStr">
        <is>
          <t>Skips Phase 6 (missed opportunity scan). Use when short on time. Core council + portfolio still runs.</t>
        </is>
      </c>
      <c r="E6" s="80" t="inlineStr">
        <is>
          <t>Yes ✔</t>
        </is>
      </c>
      <c r="F6" s="81" t="inlineStr">
        <is>
          <t>LOW</t>
        </is>
      </c>
    </row>
    <row r="7" ht="36" customHeight="1">
      <c r="A7" s="82" t="n">
        <v>3</v>
      </c>
      <c r="B7" s="83" t="inlineStr">
        <is>
          <t>"Already ran today" error
(duplicate guard triggered)</t>
        </is>
      </c>
      <c r="C7" s="78" t="inlineStr">
        <is>
          <t>python night_runner.py --force</t>
        </is>
      </c>
      <c r="D7" s="84" t="inlineStr">
        <is>
          <t>Overrides the duplicate-date guard in learning_progress.json. Use ONLY if last run crashed before Phase 5 completed.</t>
        </is>
      </c>
      <c r="E7" s="85" t="inlineStr">
        <is>
          <t>Yes ✔</t>
        </is>
      </c>
      <c r="F7" s="86" t="inlineStr">
        <is>
          <t>MED ⚠</t>
        </is>
      </c>
    </row>
    <row r="8" ht="36" customHeight="1">
      <c r="A8" s="76" t="n">
        <v>4</v>
      </c>
      <c r="B8" s="77" t="inlineStr">
        <is>
          <t>Skip Ollama restart
(Ollama already warm)</t>
        </is>
      </c>
      <c r="C8" s="78" t="inlineStr">
        <is>
          <t>python night_runner.py --no-restart</t>
        </is>
      </c>
      <c r="D8" s="79" t="inlineStr">
        <is>
          <t>Skips restarting Ollama at start. Use if you just ran and want a quick second pass.</t>
        </is>
      </c>
      <c r="E8" s="80" t="inlineStr">
        <is>
          <t>Yes ✔</t>
        </is>
      </c>
      <c r="F8" s="81" t="inlineStr">
        <is>
          <t>LOW</t>
        </is>
      </c>
    </row>
    <row r="9" ht="36" customHeight="1">
      <c r="A9" s="87" t="n">
        <v>5</v>
      </c>
      <c r="B9" s="88" t="inlineStr">
        <is>
          <t>Data refresh only
(no council, no portfolio)</t>
        </is>
      </c>
      <c r="C9" s="78" t="inlineStr">
        <is>
          <t>python night_runner.py --data-only</t>
        </is>
      </c>
      <c r="D9" s="89" t="inlineStr">
        <is>
          <t>Only runs Phase 1 (price + fundamentals download). Useful to pre-cache data before 5 PM.</t>
        </is>
      </c>
      <c r="E9" s="90" t="inlineStr">
        <is>
          <t>Yes ✔</t>
        </is>
      </c>
      <c r="F9" s="91" t="inlineStr">
        <is>
          <t>LOW</t>
        </is>
      </c>
    </row>
    <row r="10" ht="20" customHeight="1">
      <c r="A10" s="82" t="n">
        <v>6</v>
      </c>
      <c r="B10" s="83" t="inlineStr">
        <is>
          <t>Override GPS threshold for tonight</t>
        </is>
      </c>
      <c r="C10" s="78" t="inlineStr">
        <is>
          <t>python night_runner.py --gps 5.5</t>
        </is>
      </c>
      <c r="D10" s="84" t="inlineStr">
        <is>
          <t>Temporarily lowers GPS filter (default 6.0). More stocks enter council. Replace 5.5 with desired threshold.</t>
        </is>
      </c>
      <c r="E10" s="85" t="inlineStr">
        <is>
          <t>Yes ✔</t>
        </is>
      </c>
      <c r="F10" s="86" t="inlineStr">
        <is>
          <t>MED ⚠</t>
        </is>
      </c>
    </row>
    <row r="11" ht="20" customHeight="1">
      <c r="A11" s="92" t="inlineStr">
        <is>
          <t xml:space="preserve">  ▶  SYNTAX / IMPORT ERRORS</t>
        </is>
      </c>
      <c r="B11" s="112" t="n"/>
      <c r="C11" s="112" t="n"/>
      <c r="D11" s="112" t="n"/>
      <c r="E11" s="112" t="n"/>
      <c r="F11" s="113" t="n"/>
    </row>
    <row r="12" ht="36" customHeight="1">
      <c r="A12" s="87" t="n">
        <v>7</v>
      </c>
      <c r="B12" s="88" t="inlineStr">
        <is>
          <t>SyntaxError in night_runner.py
(e.g. "unterminated string")</t>
        </is>
      </c>
      <c r="C12" s="78" t="inlineStr">
        <is>
          <t>python -B -m py_compile night_runner.py</t>
        </is>
      </c>
      <c r="D12" s="89" t="inlineStr">
        <is>
          <t>Compiles file without running it. Shows exact line + error. Safe check — no state changes.</t>
        </is>
      </c>
      <c r="E12" s="90" t="inlineStr">
        <is>
          <t>Yes ✔</t>
        </is>
      </c>
      <c r="F12" s="90" t="inlineStr">
        <is>
          <t>NONE</t>
        </is>
      </c>
    </row>
    <row r="13" ht="20" customHeight="1">
      <c r="A13" s="87" t="n">
        <v>8</v>
      </c>
      <c r="B13" s="88" t="inlineStr">
        <is>
          <t>SyntaxError in sector_scanner.py</t>
        </is>
      </c>
      <c r="C13" s="78" t="inlineStr">
        <is>
          <t>python -B -m py_compile scanner/sector_scanner.py</t>
        </is>
      </c>
      <c r="D13" s="89" t="inlineStr">
        <is>
          <t>Same compile-check for the sector scanner. Use after any manual edits.</t>
        </is>
      </c>
      <c r="E13" s="90" t="inlineStr">
        <is>
          <t>Yes ✔</t>
        </is>
      </c>
      <c r="F13" s="90" t="inlineStr">
        <is>
          <t>NONE</t>
        </is>
      </c>
    </row>
    <row r="14" ht="36" customHeight="1">
      <c r="A14" s="87" t="n">
        <v>9</v>
      </c>
      <c r="B14" s="88" t="inlineStr">
        <is>
          <t>Check ALL .py files for syntax errors</t>
        </is>
      </c>
      <c r="C14" s="78" t="inlineStr">
        <is>
          <t>python -B -m py_compile bots/*.py
python -B -m py_compile pipeline/*.py</t>
        </is>
      </c>
      <c r="D14" s="89" t="inlineStr">
        <is>
          <t>Batch compile-check all bots and pipeline files. Catches import-level errors before running.</t>
        </is>
      </c>
      <c r="E14" s="90" t="inlineStr">
        <is>
          <t>Yes ✔</t>
        </is>
      </c>
      <c r="F14" s="90" t="inlineStr">
        <is>
          <t>NONE</t>
        </is>
      </c>
    </row>
    <row r="15" ht="68" customHeight="1">
      <c r="A15" s="82" t="n">
        <v>10</v>
      </c>
      <c r="B15" s="83" t="inlineStr">
        <is>
          <t>Duplicate tail in night_runner.py
(after cat &gt;&gt; double-append)</t>
        </is>
      </c>
      <c r="C15" s="78" t="inlineStr">
        <is>
          <t>python -B -m py_compile night_runner.py
-- if error: open file, delete lines after last "if __name__" block --</t>
        </is>
      </c>
      <c r="D15" s="84" t="inlineStr">
        <is>
          <t>The file should end at:
  if __name__ == '__main__':
      main()
Delete any lines after this block.</t>
        </is>
      </c>
      <c r="E15" s="85" t="inlineStr">
        <is>
          <t>Yes ✔</t>
        </is>
      </c>
      <c r="F15" s="93" t="inlineStr">
        <is>
          <t>LOW</t>
        </is>
      </c>
    </row>
    <row r="16" ht="20" customHeight="1">
      <c r="A16" s="94" t="inlineStr">
        <is>
          <t xml:space="preserve">  ▶  CORRUPTED JSON STATE FILES</t>
        </is>
      </c>
      <c r="B16" s="112" t="n"/>
      <c r="C16" s="112" t="n"/>
      <c r="D16" s="112" t="n"/>
      <c r="E16" s="112" t="n"/>
      <c r="F16" s="113" t="n"/>
    </row>
    <row r="17" ht="20" customHeight="1">
      <c r="A17" s="87" t="n">
        <v>11</v>
      </c>
      <c r="B17" s="88" t="inlineStr">
        <is>
          <t>Verify all 3 state files are valid JSON</t>
        </is>
      </c>
      <c r="C17" s="78" t="inlineStr">
        <is>
          <t>python -c "import json; [json.load(open(f'data/{f}')) for f in ['portfolio_state.json','portfolio_state_v2.json','learning_progress.json']]; print('ALL OK')"</t>
        </is>
      </c>
      <c r="D17" s="89" t="inlineStr">
        <is>
          <t>Quick check — prints ALL OK or shows which file + line is broken.</t>
        </is>
      </c>
      <c r="E17" s="90" t="inlineStr">
        <is>
          <t>Yes ✔</t>
        </is>
      </c>
      <c r="F17" s="90" t="inlineStr">
        <is>
          <t>NONE</t>
        </is>
      </c>
    </row>
    <row r="18" ht="52" customHeight="1">
      <c r="A18" s="82" t="n">
        <v>12</v>
      </c>
      <c r="B18" s="83" t="inlineStr">
        <is>
          <t>portfolio_state.json corrupted
(truncated mid-write)</t>
        </is>
      </c>
      <c r="C18" s="78" t="inlineStr">
        <is>
          <t>-- Use repair_jsons.py script --
python ../repair_jsons.py
(script is in outputs folder)</t>
        </is>
      </c>
      <c r="D18" s="84" t="inlineStr">
        <is>
          <t>Closes truncated JSON, adds missing Day entries from night_report. Always check night_report_{date}.json first for correct values.</t>
        </is>
      </c>
      <c r="E18" s="85" t="inlineStr">
        <is>
          <t>Yes ✔</t>
        </is>
      </c>
      <c r="F18" s="86" t="inlineStr">
        <is>
          <t>MED ⚠</t>
        </is>
      </c>
    </row>
    <row r="19" ht="36" customHeight="1">
      <c r="A19" s="87" t="n">
        <v>13</v>
      </c>
      <c r="B19" s="88" t="inlineStr">
        <is>
          <t>Check what date the duplicate guard sees
(will it block tonight's run?)</t>
        </is>
      </c>
      <c r="C19" s="78" t="inlineStr">
        <is>
          <t>python -c "import json; d=json.load(open('data/learning_progress.json')); [print(e['date'],'Day',e['day']) for e in d['daily_log'][-3:]]"</t>
        </is>
      </c>
      <c r="D19" s="89" t="inlineStr">
        <is>
          <t>Shows last 3 daily_log dates. If today's date is listed, night runner will skip (use --force to override).</t>
        </is>
      </c>
      <c r="E19" s="90" t="inlineStr">
        <is>
          <t>Yes ✔</t>
        </is>
      </c>
      <c r="F19" s="90" t="inlineStr">
        <is>
          <t>NONE</t>
        </is>
      </c>
    </row>
    <row r="20" ht="36" customHeight="1">
      <c r="A20" s="87" t="n">
        <v>14</v>
      </c>
      <c r="B20" s="88" t="inlineStr">
        <is>
          <t>Find all files referencing a bad date
(e.g. wrong 2026-07-08 in Day 14)</t>
        </is>
      </c>
      <c r="C20" s="78" t="inlineStr">
        <is>
          <t xml:space="preserve">python -c "import subprocess; r=subprocess.run(['grep','-rl','BAD_DATE','data/'],capture_output=True,text=True); print(r.stdout)" </t>
        </is>
      </c>
      <c r="D20" s="89" t="inlineStr">
        <is>
          <t>Replace BAD_DATE with the date string to search. Shows which JSON files need fixing.</t>
        </is>
      </c>
      <c r="E20" s="90" t="inlineStr">
        <is>
          <t>Yes ✔</t>
        </is>
      </c>
      <c r="F20" s="90" t="inlineStr">
        <is>
          <t>NONE</t>
        </is>
      </c>
    </row>
    <row r="21" ht="20" customHeight="1">
      <c r="A21" s="95" t="inlineStr">
        <is>
          <t xml:space="preserve">  ▶  PORTFOLIO &amp; EXCEL TRACKERS</t>
        </is>
      </c>
      <c r="B21" s="112" t="n"/>
      <c r="C21" s="112" t="n"/>
      <c r="D21" s="112" t="n"/>
      <c r="E21" s="112" t="n"/>
      <c r="F21" s="113" t="n"/>
    </row>
    <row r="22" ht="36" customHeight="1">
      <c r="A22" s="87" t="n">
        <v>15</v>
      </c>
      <c r="B22" s="88" t="inlineStr">
        <is>
          <t>Update Excel trackers manually
(after JSON repair)</t>
        </is>
      </c>
      <c r="C22" s="78" t="inlineStr">
        <is>
          <t>python portfolio_excel.py</t>
        </is>
      </c>
      <c r="D22" s="89" t="inlineStr">
        <is>
          <t>Regenerates portfolio_tracker.xlsx from portfolio_state.json. Run after repairing state files.</t>
        </is>
      </c>
      <c r="E22" s="90" t="inlineStr">
        <is>
          <t>Yes ✔</t>
        </is>
      </c>
      <c r="F22" s="91" t="inlineStr">
        <is>
          <t>LOW</t>
        </is>
      </c>
    </row>
    <row r="23" ht="20" customHeight="1">
      <c r="A23" s="82" t="n">
        <v>16</v>
      </c>
      <c r="B23" s="83" t="inlineStr">
        <is>
          <t>Check portfolio engine without running full council</t>
        </is>
      </c>
      <c r="C23" s="78" t="inlineStr">
        <is>
          <t>python run_phase4_manual.py</t>
        </is>
      </c>
      <c r="D23" s="84" t="inlineStr">
        <is>
          <t>Runs only Phase 4 (portfolio decisions). Does not call Ollama. Use to re-apply buys/sells from council output.</t>
        </is>
      </c>
      <c r="E23" s="85" t="inlineStr">
        <is>
          <t>Yes ✔</t>
        </is>
      </c>
      <c r="F23" s="86" t="inlineStr">
        <is>
          <t>MED ⚠</t>
        </is>
      </c>
    </row>
    <row r="24" ht="20" customHeight="1">
      <c r="A24" s="82" t="n">
        <v>17</v>
      </c>
      <c r="B24" s="83" t="inlineStr">
        <is>
          <t>Model B backtest re-run</t>
        </is>
      </c>
      <c r="C24" s="78" t="inlineStr">
        <is>
          <t>python run_backtest_v2.py</t>
        </is>
      </c>
      <c r="D24" s="84" t="inlineStr">
        <is>
          <t>Rebuilds portfolio_state_v2.json from scratch using all council session JSONs. Run if v2 state gets corrupted.</t>
        </is>
      </c>
      <c r="E24" s="85" t="inlineStr">
        <is>
          <t>Yes ✔</t>
        </is>
      </c>
      <c r="F24" s="86" t="inlineStr">
        <is>
          <t>MED ⚠</t>
        </is>
      </c>
    </row>
    <row r="25" ht="20" customHeight="1">
      <c r="A25" s="96" t="inlineStr">
        <is>
          <t xml:space="preserve">  ▶  SECTOR SCANNER &amp; GPS ISSUES</t>
        </is>
      </c>
      <c r="B25" s="112" t="n"/>
      <c r="C25" s="112" t="n"/>
      <c r="D25" s="112" t="n"/>
      <c r="E25" s="112" t="n"/>
      <c r="F25" s="113" t="n"/>
    </row>
    <row r="26" ht="36" customHeight="1">
      <c r="A26" s="97" t="n">
        <v>18</v>
      </c>
      <c r="B26" s="98" t="inlineStr">
        <is>
          <t>Test sector scanner standalone
(check which stocks it picks)</t>
        </is>
      </c>
      <c r="C26" s="78" t="inlineStr">
        <is>
          <t>python scan.py</t>
        </is>
      </c>
      <c r="D26" s="99" t="inlineStr">
        <is>
          <t>Runs sector scan + GPS filter without council. Shows sector scores, top stocks, GPS values. Fast (~2 min).</t>
        </is>
      </c>
      <c r="E26" s="100" t="inlineStr">
        <is>
          <t>Yes ✔</t>
        </is>
      </c>
      <c r="F26" s="100" t="inlineStr">
        <is>
          <t>NONE</t>
        </is>
      </c>
    </row>
    <row r="27" ht="52" customHeight="1">
      <c r="A27" s="97" t="n">
        <v>19</v>
      </c>
      <c r="B27" s="98" t="inlineStr">
        <is>
          <t>High-GPS stock missed by council
(e.g. OFSS GPS 8.05 not debated)</t>
        </is>
      </c>
      <c r="C27" s="78" t="inlineStr">
        <is>
          <t>python night_runner.py --gps 5.5
-- OR --
GPS Rescue Pass auto-catches GPS ≥ 7.5</t>
        </is>
      </c>
      <c r="D27" s="99" t="inlineStr">
        <is>
          <t>GPS Rescue Pass is now active in night_runner.py. Any stock with GPS ≥ 7.5 skipped by sector cap gets force-debated after main pipeline.</t>
        </is>
      </c>
      <c r="E27" s="100" t="inlineStr">
        <is>
          <t>Yes ✔</t>
        </is>
      </c>
      <c r="F27" s="101" t="inlineStr">
        <is>
          <t>LOW</t>
        </is>
      </c>
    </row>
    <row r="28" ht="20" customHeight="1">
      <c r="A28" s="97" t="n">
        <v>20</v>
      </c>
      <c r="B28" s="98" t="inlineStr">
        <is>
          <t>Check sector scanner compiles after edits</t>
        </is>
      </c>
      <c r="C28" s="78" t="inlineStr">
        <is>
          <t>python -B -m py_compile scanner/sector_scanner.py</t>
        </is>
      </c>
      <c r="D28" s="99" t="inlineStr">
        <is>
          <t>Always run this after editing sector_scanner.py. The file was previously truncated at line 673.</t>
        </is>
      </c>
      <c r="E28" s="100" t="inlineStr">
        <is>
          <t>Yes ✔</t>
        </is>
      </c>
      <c r="F28" s="100" t="inlineStr">
        <is>
          <t>NONE</t>
        </is>
      </c>
    </row>
    <row r="29" ht="20" customHeight="1">
      <c r="A29" s="102" t="inlineStr">
        <is>
          <t xml:space="preserve">  ▶  OLLAMA / GPU ISSUES</t>
        </is>
      </c>
      <c r="B29" s="112" t="n"/>
      <c r="C29" s="112" t="n"/>
      <c r="D29" s="112" t="n"/>
      <c r="E29" s="112" t="n"/>
      <c r="F29" s="113" t="n"/>
    </row>
    <row r="30" ht="52" customHeight="1">
      <c r="A30" s="103" t="n">
        <v>21</v>
      </c>
      <c r="B30" s="104" t="inlineStr">
        <is>
          <t>Ollama not running / GPU OOM</t>
        </is>
      </c>
      <c r="C30" s="78" t="inlineStr">
        <is>
          <t>restart_ollama.bat
-- or --
taskkill /F /IM ollama.exe &amp;&amp; ollama serve</t>
        </is>
      </c>
      <c r="D30" s="105" t="inlineStr">
        <is>
          <t>The .bat file is in the stock_council folder. Kills and restarts Ollama. GPU memory is freed.</t>
        </is>
      </c>
      <c r="E30" s="106" t="inlineStr">
        <is>
          <t>Yes ✔</t>
        </is>
      </c>
      <c r="F30" s="107" t="inlineStr">
        <is>
          <t>LOW</t>
        </is>
      </c>
    </row>
    <row r="31" ht="20" customHeight="1">
      <c r="A31" s="103" t="n">
        <v>22</v>
      </c>
      <c r="B31" s="104" t="inlineStr">
        <is>
          <t>Check if Ollama is responding</t>
        </is>
      </c>
      <c r="C31" s="78" t="inlineStr">
        <is>
          <t>curl http://localhost:11434/api/tags</t>
        </is>
      </c>
      <c r="D31" s="105" t="inlineStr">
        <is>
          <t>Should return a JSON list of models. If connection refused, Ollama is not running.</t>
        </is>
      </c>
      <c r="E31" s="106" t="inlineStr">
        <is>
          <t>Yes ✔</t>
        </is>
      </c>
      <c r="F31" s="106" t="inlineStr">
        <is>
          <t>NONE</t>
        </is>
      </c>
    </row>
    <row r="32" ht="36" customHeight="1">
      <c r="A32" s="103" t="n">
        <v>23</v>
      </c>
      <c r="B32" s="104" t="inlineStr">
        <is>
          <t>Council crashed mid-run
(bot checkpoint recovery)</t>
        </is>
      </c>
      <c r="C32" s="78" t="inlineStr">
        <is>
          <t>python night_runner.py --no-restart
(checkpoints auto-loaded)</t>
        </is>
      </c>
      <c r="D32" s="105" t="inlineStr">
        <is>
          <t>Per-bot checkpoints saved to data/bot_cache_{date}_{symbol}.json. Next run auto-resumes from last completed bot. No manual action needed.</t>
        </is>
      </c>
      <c r="E32" s="106" t="inlineStr">
        <is>
          <t>Yes ✔</t>
        </is>
      </c>
      <c r="F32" s="107" t="inlineStr">
        <is>
          <t>LOW</t>
        </is>
      </c>
    </row>
    <row r="33" ht="20" customHeight="1">
      <c r="A33" s="108" t="inlineStr">
        <is>
          <t xml:space="preserve">  ▶  QUICK DIAGNOSTICS (run anytime)</t>
        </is>
      </c>
      <c r="B33" s="112" t="n"/>
      <c r="C33" s="112" t="n"/>
      <c r="D33" s="112" t="n"/>
      <c r="E33" s="112" t="n"/>
      <c r="F33" s="113" t="n"/>
    </row>
    <row r="34" ht="20" customHeight="1">
      <c r="A34" s="87" t="n">
        <v>24</v>
      </c>
      <c r="B34" s="88" t="inlineStr">
        <is>
          <t>What day is the system on?</t>
        </is>
      </c>
      <c r="C34" s="78" t="inlineStr">
        <is>
          <t>python -c "import json; d=json.load(open('data/portfolio_state.json')); print('Model A Day:',d['day'],'| Cash:',d['cash'])"</t>
        </is>
      </c>
      <c r="D34" s="89" t="inlineStr">
        <is>
          <t>Prints current day number and cash from Model A state.</t>
        </is>
      </c>
      <c r="E34" s="90" t="inlineStr">
        <is>
          <t>Yes ✔</t>
        </is>
      </c>
      <c r="F34" s="90" t="inlineStr">
        <is>
          <t>NONE</t>
        </is>
      </c>
    </row>
    <row r="35" ht="20" customHeight="1">
      <c r="A35" s="87" t="n">
        <v>25</v>
      </c>
      <c r="B35" s="88" t="inlineStr">
        <is>
          <t>What did last night's run produce?</t>
        </is>
      </c>
      <c r="C35" s="78" t="inlineStr">
        <is>
          <t>python -c "import json,glob,os; f=max(glob.glob('reports/nightly/*.json'),key=os.path.getmtime); print(open(f).read())"</t>
        </is>
      </c>
      <c r="D35" s="89" t="inlineStr">
        <is>
          <t>Prints the most recent night report JSON (date, day, accuracy, stocks debated, portfolio value).</t>
        </is>
      </c>
      <c r="E35" s="90" t="inlineStr">
        <is>
          <t>Yes ✔</t>
        </is>
      </c>
      <c r="F35" s="90" t="inlineStr">
        <is>
          <t>NONE</t>
        </is>
      </c>
    </row>
    <row r="36" ht="20" customHeight="1">
      <c r="A36" s="87" t="n">
        <v>26</v>
      </c>
      <c r="B36" s="88" t="inlineStr">
        <is>
          <t>How many stocks were missed last night?</t>
        </is>
      </c>
      <c r="C36" s="78" t="inlineStr">
        <is>
          <t>python -c "import json; d=json.load(open('data/missed_opportunities.json')); e=d[-1]; print(e['date'],'|',len(e.get('missed_stocks',[])),'missed | debated:',e.get('debated_count'))"</t>
        </is>
      </c>
      <c r="D36" s="89" t="inlineStr">
        <is>
          <t>Shows last night's missed opportunity summary.</t>
        </is>
      </c>
      <c r="E36" s="90" t="inlineStr">
        <is>
          <t>Yes ✔</t>
        </is>
      </c>
      <c r="F36" s="90" t="inlineStr">
        <is>
          <t>NONE</t>
        </is>
      </c>
    </row>
    <row r="37" ht="20" customHeight="1">
      <c r="A37" s="87" t="n">
        <v>27</v>
      </c>
      <c r="B37" s="88" t="inlineStr">
        <is>
          <t>Check trading calendar — is today a trading day?</t>
        </is>
      </c>
      <c r="C37" s="78" t="inlineStr">
        <is>
          <t>python -c "from trading_calendar import get_trading_date; print(get_trading_date())"</t>
        </is>
      </c>
      <c r="D37" s="89" t="inlineStr">
        <is>
          <t>Prints today's effective trading date. If today is a holiday/weekend, shows last trading day.</t>
        </is>
      </c>
      <c r="E37" s="90" t="inlineStr">
        <is>
          <t>Yes ✔</t>
        </is>
      </c>
      <c r="F37" s="90" t="inlineStr">
        <is>
          <t>NONE</t>
        </is>
      </c>
    </row>
  </sheetData>
  <mergeCells count="9">
    <mergeCell ref="A16:F16"/>
    <mergeCell ref="A11:F11"/>
    <mergeCell ref="A2:F2"/>
    <mergeCell ref="A33:F33"/>
    <mergeCell ref="A1:F1"/>
    <mergeCell ref="A4:F4"/>
    <mergeCell ref="A21:F21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2026-07-08T05:33:29Z</dcterms:created>
  <dcterms:modified xmlns:dcterms="http://purl.org/dc/terms/" xmlns:xsi="http://www.w3.org/2001/XMLSchema-instance" xsi:type="dcterms:W3CDTF">2026-07-09T04:52:32Z</dcterms:modified>
  <cp:lastModifiedBy>SUDHANSHU</cp:lastModifiedBy>
  <cp:revision>0</cp:revision>
</cp:coreProperties>
</file>